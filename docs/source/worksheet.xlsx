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" sheetId="1" r:id="rId4"/>
    <sheet state="visible" name="Entry Apps" sheetId="2" r:id="rId5"/>
    <sheet state="visible" name="Directory Industry" sheetId="3" r:id="rId6"/>
    <sheet state="visible" name="Data Plotting" sheetId="4" r:id="rId7"/>
    <sheet state="visible" name="Jenis Industri" sheetId="5" r:id="rId8"/>
    <sheet state="visible" name="Sheet1" sheetId="6" r:id="rId9"/>
    <sheet state="visible" name="KK0" sheetId="7" r:id="rId10"/>
  </sheets>
  <definedNames/>
  <calcPr/>
  <extLst>
    <ext uri="GoogleSheetsCustomDataVersion2">
      <go:sheetsCustomData xmlns:go="http://customooxmlschemas.google.com/" r:id="rId11" roundtripDataChecksum="+vOHdd7K3mjipxiriPk9717CFb3aZ+sYzy8QYeDiSR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8">
      <text>
        <t xml:space="preserve">======
ID#AAACEuwLlz0
Rizal Yuniarto    (2026-08-03 08:04:48)
Dropdown : 
Bronze 1
Bronze 2
Bronze 3
Silver
Gold
Platinum</t>
      </text>
    </comment>
    <comment authorId="0" ref="C3">
      <text>
        <t xml:space="preserve">======
ID#AAACEuwLlyc
Rizal Yuniarto    (2026-08-03 08:04:48)
Data bisa di filter : Lokasi / Jenis Produksi</t>
      </text>
    </comment>
    <comment authorId="0" ref="G102">
      <text>
        <t xml:space="preserve">======
ID#AAACEuwLlyg
Rizal Yuniarto    (2026-08-03 08:04:48)
Date</t>
      </text>
    </comment>
    <comment authorId="0" ref="M73">
      <text>
        <t xml:space="preserve">======
ID#AAACEuwLlz4
Rizal Yuniarto    (2026-08-03 08:04:48)
Otomatis</t>
      </text>
    </comment>
    <comment authorId="0" ref="F57">
      <text>
        <t xml:space="preserve">======
ID#AAACEuwLlxM
Rizal Yuniarto    (2026-08-03 08:04:48)
Tuliskan produk utama</t>
      </text>
    </comment>
    <comment authorId="0" ref="L94">
      <text>
        <t xml:space="preserve">======
ID#AAACEuwLlyY
Rizal Yuniarto    (2026-08-03 08:04:48)
Drop down List, jika tidak ada bisa Input baru</t>
      </text>
    </comment>
    <comment authorId="0" ref="F55">
      <text>
        <t xml:space="preserve">======
ID#AAACEuwLl0A
Rizal Yuniarto    (2026-08-03 08:04:48)
Tuliskan produk utama</t>
      </text>
    </comment>
    <comment authorId="0" ref="I57">
      <text>
        <t xml:space="preserve">======
ID#AAACEuwLlyE
Rizal Yuniarto    (2026-08-03 08:04:48)
Drop list : Impor/Lokal</t>
      </text>
    </comment>
    <comment authorId="0" ref="I55">
      <text>
        <t xml:space="preserve">======
ID#AAACEuwLlxo
Rizal Yuniarto    (2026-08-03 08:04:48)
Drop list : Impor/Lokal</t>
      </text>
    </comment>
    <comment authorId="0" ref="F51">
      <text>
        <t xml:space="preserve">======
ID#AAACEuwLlyk
Rizal Yuniarto    (2026-08-03 08:04:48)
Tuliskan produk utama</t>
      </text>
    </comment>
    <comment authorId="0" ref="M57">
      <text>
        <t xml:space="preserve">======
ID#AAACEuwLlxc
Rizal Yuniarto    (2026-08-03 08:04:48)
Drop down (%) atau (Ton/KL/m2) per Bulan</t>
      </text>
    </comment>
    <comment authorId="0" ref="F49">
      <text>
        <t xml:space="preserve">======
ID#AAACEuwLlzw
Rizal Yuniarto    (2026-08-03 08:04:48)
Tuliskan produk utama</t>
      </text>
    </comment>
    <comment authorId="0" ref="M55">
      <text>
        <t xml:space="preserve">======
ID#AAACEuwLlzk
Rizal Yuniarto    (2026-08-03 08:04:48)
Drop down (%) atau (Ton/KL/m2) per Bulan</t>
      </text>
    </comment>
    <comment authorId="0" ref="I51">
      <text>
        <t xml:space="preserve">======
ID#AAACEuwLlzI
Rizal Yuniarto    (2026-08-03 08:04:48)
Drop list : Impor/Lokal</t>
      </text>
    </comment>
    <comment authorId="0" ref="J51">
      <text>
        <t xml:space="preserve">======
ID#AAACEuwLlzY
Rizal Yuniarto    (2026-08-03 08:04:48)
Drop down Negara</t>
      </text>
    </comment>
    <comment authorId="0" ref="I49">
      <text>
        <t xml:space="preserve">======
ID#AAACEuwLlxs
Rizal Yuniarto    (2026-08-03 08:04:48)
Drop list : Impor/Lokal</t>
      </text>
    </comment>
    <comment authorId="0" ref="J49">
      <text>
        <t xml:space="preserve">======
ID#AAACEuwLlzE
Rizal Yuniarto    (2026-08-03 08:04:48)
Drop down Negara</t>
      </text>
    </comment>
    <comment authorId="0" ref="M51">
      <text>
        <t xml:space="preserve">======
ID#AAACEuwLlxI
Rizal Yuniarto    (2026-08-03 08:04:48)
Drop down (%) atau (Ton/KL/m2) per Bulan</t>
      </text>
    </comment>
    <comment authorId="0" ref="D72">
      <text>
        <t xml:space="preserve">======
ID#AAACEuwLlzc
Rizal Yuniarto    (2026-08-03 08:04:48)
Entry :</t>
      </text>
    </comment>
    <comment authorId="0" ref="M49">
      <text>
        <t xml:space="preserve">======
ID#AAACEuwLlzM
Rizal Yuniarto    (2026-08-03 08:04:48)
Drop down (%) atau (Ton/KL/m2) per Bulan</t>
      </text>
    </comment>
    <comment authorId="0" ref="F72">
      <text>
        <t xml:space="preserve">======
ID#AAACEuwLlyI
Rizal Yuniarto    (2026-08-03 08:04:48)
Memilih Unit</t>
      </text>
    </comment>
    <comment authorId="0" ref="L72">
      <text>
        <t xml:space="preserve">======
ID#AAACEuwLlx4
Rizal Yuniarto    (2026-08-03 08:04:48)
Pilih Unit : Ton/Liter/Kwh</t>
      </text>
    </comment>
    <comment authorId="0" ref="M72">
      <text>
        <t xml:space="preserve">======
ID#AAACEuwLlyM
Rizal Yuniarto    (2026-08-03 08:04:48)
Otomatis</t>
      </text>
    </comment>
    <comment authorId="0" ref="F95">
      <text>
        <t xml:space="preserve">======
ID#AAACEuwLlxU
Rizal Yuniarto    (2026-08-03 08:04:48)
Sesuai Data base</t>
      </text>
    </comment>
    <comment authorId="0" ref="K66">
      <text>
        <t xml:space="preserve">======
ID#AAACEuwLlzU
Rizal Yuniarto    (2026-08-03 08:04:48)
Dropdown : TR/PK/Kw</t>
      </text>
    </comment>
    <comment authorId="0" ref="F60">
      <text>
        <t xml:space="preserve">======
ID#AAACEuwLl0M
Rizal Yuniarto    (2026-08-03 08:04:48)
Tulis angka</t>
      </text>
    </comment>
    <comment authorId="0" ref="M66">
      <text>
        <t xml:space="preserve">======
ID#AAACEuwLlxY
Rizal Yuniarto    (2026-08-03 08:04:48)
Tuliskan</t>
      </text>
    </comment>
    <comment authorId="0" ref="J60">
      <text>
        <t xml:space="preserve">======
ID#AAACEuwLl0E
Rizal Yuniarto    (2026-08-03 08:04:48)
Drop down (1, 2, 3)</t>
      </text>
    </comment>
    <comment authorId="0" ref="F56">
      <text>
        <t xml:space="preserve">======
ID#AAACEuwLlw8
Rizal Yuniarto    (2026-08-03 08:04:48)
Tuliskan produk utama</t>
      </text>
    </comment>
    <comment authorId="0" ref="L93">
      <text>
        <t xml:space="preserve">======
ID#AAACEuwLlyQ
Rizal Yuniarto    (2026-08-03 08:04:48)
Dropdown : 
Bronze 1
Bronze 2
Bronze 3
Silver
Gold
Platinum</t>
      </text>
    </comment>
    <comment authorId="0" ref="F54">
      <text>
        <t xml:space="preserve">======
ID#AAACEuwLlzQ
Rizal Yuniarto    (2026-08-03 08:04:48)
Tuliskan produk utama</t>
      </text>
    </comment>
    <comment authorId="0" ref="G87">
      <text>
        <t xml:space="preserve">======
ID#AAACEuwLly8
Rizal Yuniarto    (2026-08-03 08:04:48)
Date</t>
      </text>
    </comment>
    <comment authorId="0" ref="I56">
      <text>
        <t xml:space="preserve">======
ID#AAACEuwLlyw
Rizal Yuniarto    (2026-08-03 08:04:48)
Drop list : Impor/Lokal</t>
      </text>
    </comment>
    <comment authorId="0" ref="I120">
      <text>
        <t xml:space="preserve">======
ID#AAACEuwLlyo
Rizal Yuniarto    (2026-08-03 08:04:48)
Drop down</t>
      </text>
    </comment>
    <comment authorId="0" ref="I54">
      <text>
        <t xml:space="preserve">======
ID#AAACEuwLlys
Rizal Yuniarto    (2026-08-03 08:04:48)
Drop list : Impor/Lokal</t>
      </text>
    </comment>
    <comment authorId="0" ref="F50">
      <text>
        <t xml:space="preserve">======
ID#AAACEuwLlzo
Rizal Yuniarto    (2026-08-03 08:04:48)
Tuliskan produk utama</t>
      </text>
    </comment>
    <comment authorId="0" ref="M56">
      <text>
        <t xml:space="preserve">======
ID#AAACEuwLlxg
Rizal Yuniarto    (2026-08-03 08:04:48)
Drop down (%) atau (Ton/KL/m2) per Bulan</t>
      </text>
    </comment>
    <comment authorId="0" ref="H83">
      <text>
        <t xml:space="preserve">======
ID#AAACEuwLlxQ
Rizal Yuniarto    (2026-08-03 08:04:48)
Bisa terisi dari data Regristrasi Onlile / Input dari registrasi Manual</t>
      </text>
    </comment>
    <comment authorId="0" ref="F48">
      <text>
        <t xml:space="preserve">======
ID#AAACEuwLlzs
Rizal Yuniarto    (2026-08-03 08:04:48)
Tuliskan produk utama</t>
      </text>
    </comment>
    <comment authorId="0" ref="I50">
      <text>
        <t xml:space="preserve">======
ID#AAACEuwLl0I
Rizal Yuniarto    (2026-08-03 08:04:48)
Drop list : Impor/Lokal</t>
      </text>
    </comment>
    <comment authorId="0" ref="M54">
      <text>
        <t xml:space="preserve">======
ID#AAACEuwLlz8
Rizal Yuniarto    (2026-08-03 08:04:48)
Drop down (%) atau (Ton/KL/m2) per Bulan</t>
      </text>
    </comment>
    <comment authorId="0" ref="F110">
      <text>
        <t xml:space="preserve">======
ID#AAACEuwLly0
Rizal Yuniarto    (2026-08-03 08:04:48)
Sesuai Data base</t>
      </text>
    </comment>
    <comment authorId="0" ref="J50">
      <text>
        <t xml:space="preserve">======
ID#AAACEuwLlyU
Rizal Yuniarto    (2026-08-03 08:04:48)
Drop down Negara</t>
      </text>
    </comment>
    <comment authorId="0" ref="J48">
      <text>
        <t xml:space="preserve">======
ID#AAACEuwLl0Q
Rizal Yuniarto    (2026-08-03 08:04:48)
Drop down Negara</t>
      </text>
    </comment>
    <comment authorId="0" ref="M50">
      <text>
        <t xml:space="preserve">======
ID#AAACEuwLlxA
Rizal Yuniarto    (2026-08-03 08:04:48)
Drop down (%) atau (Ton/KL/m2) per Bulan</t>
      </text>
    </comment>
    <comment authorId="0" ref="M48">
      <text>
        <t xml:space="preserve">======
ID#AAACEuwLlyA
Rizal Yuniarto    (2026-08-03 08:04:48)
Drop down (%) atau (Ton/KL/m2) per Bulan</t>
      </text>
    </comment>
  </commentList>
  <extLst>
    <ext uri="GoogleSheetsCustomDataVersion2">
      <go:sheetsCustomData xmlns:go="http://customooxmlschemas.google.com/" r:id="rId1" roundtripDataSignature="AMtx7mjN9QGu6gpju7Yk6gytOMX/CzBPO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======
ID#AAACEuwLlx8
Rizal Yuniarto    (2026-08-03 08:04:48)
All Provinsi</t>
      </text>
    </comment>
    <comment authorId="0" ref="F3">
      <text>
        <t xml:space="preserve">======
ID#AAACEuwLlxk
Rizal Yuniarto    (2026-08-03 08:04:48)
Ada pilihan : Semua</t>
      </text>
    </comment>
    <comment authorId="0" ref="G3">
      <text>
        <t xml:space="preserve">======
ID#AAACEuwLlxE
Rizal Yuniarto    (2026-08-03 08:04:48)
Ada Pilihan : Semua</t>
      </text>
    </comment>
    <comment authorId="0" ref="I3">
      <text>
        <t xml:space="preserve">======
ID#AAACEuwLlzg
Rizal Yuniarto    (2026-08-03 08:04:48)
Ada Pilihan : Semua</t>
      </text>
    </comment>
  </commentList>
  <extLst>
    <ext uri="GoogleSheetsCustomDataVersion2">
      <go:sheetsCustomData xmlns:go="http://customooxmlschemas.google.com/" r:id="rId1" roundtripDataSignature="AMtx7miu4xzN8uKw7+GSay7l7HyARW9Oz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ID#AAACEuwLlx0
Rizal Yuniarto    (2026-08-03 08:04:48)
All Provinsi</t>
      </text>
    </comment>
    <comment authorId="0" ref="G3">
      <text>
        <t xml:space="preserve">======
ID#AAACEuwLlzA
Rizal Yuniarto    (2026-08-03 08:04:48)
Ada pilihan : Semua</t>
      </text>
    </comment>
    <comment authorId="0" ref="H3">
      <text>
        <t xml:space="preserve">======
ID#AAACEuwLly4
Rizal Yuniarto    (2026-08-03 08:04:48)
Ada Pilihan : Semua</t>
      </text>
    </comment>
    <comment authorId="0" ref="J3">
      <text>
        <t xml:space="preserve">======
ID#AAACEuwLlxw
Rizal Yuniarto    (2026-08-03 08:04:48)
Ada Pilihan : Semua</t>
      </text>
    </comment>
  </commentList>
  <extLst>
    <ext uri="GoogleSheetsCustomDataVersion2">
      <go:sheetsCustomData xmlns:go="http://customooxmlschemas.google.com/" r:id="rId1" roundtripDataSignature="AMtx7mhGXhRnLzRQi1O92KL4vn+VlNystQ=="/>
    </ext>
  </extLst>
</comments>
</file>

<file path=xl/sharedStrings.xml><?xml version="1.0" encoding="utf-8"?>
<sst xmlns="http://schemas.openxmlformats.org/spreadsheetml/2006/main" count="556" uniqueCount="348">
  <si>
    <t>Bronze 1</t>
  </si>
  <si>
    <t>Prov</t>
  </si>
  <si>
    <t>Bronze 2</t>
  </si>
  <si>
    <t>Bronze 3</t>
  </si>
  <si>
    <t xml:space="preserve">Silver </t>
  </si>
  <si>
    <t>Gold</t>
  </si>
  <si>
    <t>Platinum</t>
  </si>
  <si>
    <t>Kota/Kab</t>
  </si>
  <si>
    <t>Kec</t>
  </si>
  <si>
    <t xml:space="preserve">SISTEM MANAGEMENT PROSES BERLANGGANAN GAS </t>
  </si>
  <si>
    <t>Kel/Desa</t>
  </si>
  <si>
    <t xml:space="preserve">Jalur Pipa </t>
  </si>
  <si>
    <t>Kawasan</t>
  </si>
  <si>
    <t xml:space="preserve">Jenis Produksi </t>
  </si>
  <si>
    <t>DATA INDUSTRI DI INDONESIA</t>
  </si>
  <si>
    <t xml:space="preserve">Filter </t>
  </si>
  <si>
    <t>Jawa Timur</t>
  </si>
  <si>
    <t>Kendal</t>
  </si>
  <si>
    <t>Dawu</t>
  </si>
  <si>
    <t>Jombok</t>
  </si>
  <si>
    <t>Existing</t>
  </si>
  <si>
    <t>Semua</t>
  </si>
  <si>
    <t>Kawasan Industri</t>
  </si>
  <si>
    <t>No</t>
  </si>
  <si>
    <t xml:space="preserve">Nama </t>
  </si>
  <si>
    <t xml:space="preserve">Produksi </t>
  </si>
  <si>
    <t xml:space="preserve">Action </t>
  </si>
  <si>
    <t xml:space="preserve">Login </t>
  </si>
  <si>
    <t>Action</t>
  </si>
  <si>
    <t>Directory</t>
  </si>
  <si>
    <t>Plotting</t>
  </si>
  <si>
    <t>Prospect</t>
  </si>
  <si>
    <t>PT Big Note</t>
  </si>
  <si>
    <t xml:space="preserve">Survey </t>
  </si>
  <si>
    <t xml:space="preserve">Kertas </t>
  </si>
  <si>
    <t>Potensi</t>
  </si>
  <si>
    <t>A1</t>
  </si>
  <si>
    <t>PT Desa Makmur</t>
  </si>
  <si>
    <t>Permohonan NOL</t>
  </si>
  <si>
    <t>(Klik Nama Industri, akan masuk ke Form Entry untuk melengkapi Data: Sales, Kawasan, Jalur)</t>
  </si>
  <si>
    <t xml:space="preserve">Bahan Tekstil </t>
  </si>
  <si>
    <t>Evaluasi NOL</t>
  </si>
  <si>
    <t xml:space="preserve">Edit </t>
  </si>
  <si>
    <t>PT Esteemje</t>
  </si>
  <si>
    <t xml:space="preserve">Persetujuan NOL </t>
  </si>
  <si>
    <t>Makanan Minuman</t>
  </si>
  <si>
    <t>Save</t>
  </si>
  <si>
    <t xml:space="preserve">(setelah Selesai, bisa memilih Plotting, </t>
  </si>
  <si>
    <t xml:space="preserve">PT Fasad Indah </t>
  </si>
  <si>
    <t xml:space="preserve">Kaca </t>
  </si>
  <si>
    <t>Edit</t>
  </si>
  <si>
    <t xml:space="preserve">Delete </t>
  </si>
  <si>
    <t>PT Golden Elephant</t>
  </si>
  <si>
    <t>Ceramic</t>
  </si>
  <si>
    <t>PT Hari Cerah</t>
  </si>
  <si>
    <t>PT Indah Kejora</t>
  </si>
  <si>
    <t>Kimia</t>
  </si>
  <si>
    <t>PT Jaka Samudera</t>
  </si>
  <si>
    <t xml:space="preserve">Nomor </t>
  </si>
  <si>
    <t xml:space="preserve">0000001 - 15 - 20 </t>
  </si>
  <si>
    <t xml:space="preserve">PT Kota Baru </t>
  </si>
  <si>
    <t>Jenis Industri</t>
  </si>
  <si>
    <t xml:space="preserve">Contoh Produk </t>
  </si>
  <si>
    <t xml:space="preserve"> (Auto Generate) --&gt; 0000001-Kode Prov - Kode Kab/Kota)</t>
  </si>
  <si>
    <t xml:space="preserve">PT Larantuka </t>
  </si>
  <si>
    <t>Logam Dasar Baja</t>
  </si>
  <si>
    <t xml:space="preserve">  (Urutan Prov dan Urutan Kab)</t>
  </si>
  <si>
    <t>All</t>
  </si>
  <si>
    <t>Nama Perusahaan</t>
  </si>
  <si>
    <t>PT INDONESIA 1945</t>
  </si>
  <si>
    <t xml:space="preserve">Realisasi </t>
  </si>
  <si>
    <t>BBTUD</t>
  </si>
  <si>
    <t xml:space="preserve">Wafer, Biskuit </t>
  </si>
  <si>
    <t xml:space="preserve"> 60/64 *45</t>
  </si>
  <si>
    <t>Logam Dasar Non Baja</t>
  </si>
  <si>
    <t>Profil Aluminium</t>
  </si>
  <si>
    <t xml:space="preserve">Besi Beton </t>
  </si>
  <si>
    <t xml:space="preserve">Fabrikasi Logam Non Baja </t>
  </si>
  <si>
    <t>(Entry)</t>
  </si>
  <si>
    <t xml:space="preserve">Furniture </t>
  </si>
  <si>
    <t>Fabrikasi Logam Baja</t>
  </si>
  <si>
    <t>Otomotif, Heat Exchanger</t>
  </si>
  <si>
    <t xml:space="preserve">Kain Sarung, Kain Pakaian </t>
  </si>
  <si>
    <t>Karton, Packaging</t>
  </si>
  <si>
    <t xml:space="preserve">Kaca Otomotif, Kaca Lembaran, Gelas </t>
  </si>
  <si>
    <t xml:space="preserve">Keramik Lantai, Keramik Sanitary, Genteng </t>
  </si>
  <si>
    <t xml:space="preserve">CNG/LNG </t>
  </si>
  <si>
    <t>CNG, LNG</t>
  </si>
  <si>
    <t xml:space="preserve">Stereofoam, Sabun, </t>
  </si>
  <si>
    <t>(42,19 x 1000 x Jumlah Hari Kerja Bulan Ini )</t>
  </si>
  <si>
    <t>Smelter</t>
  </si>
  <si>
    <t xml:space="preserve">Smelter Emas, Smelter Aluminium </t>
  </si>
  <si>
    <t>Rubber</t>
  </si>
  <si>
    <t xml:space="preserve">Ban, Balon </t>
  </si>
  <si>
    <t xml:space="preserve">Plastic </t>
  </si>
  <si>
    <t>Alat Rumah Tangga, Packaging</t>
  </si>
  <si>
    <t xml:space="preserve">Laundry </t>
  </si>
  <si>
    <t xml:space="preserve">Alokasi Total </t>
  </si>
  <si>
    <t>Jasa Laundry</t>
  </si>
  <si>
    <t xml:space="preserve">Website </t>
  </si>
  <si>
    <t>Tobacco</t>
  </si>
  <si>
    <t>Rokok</t>
  </si>
  <si>
    <t>www.indonesia1945.com</t>
  </si>
  <si>
    <t>Wood</t>
  </si>
  <si>
    <t>Furniture, Floring</t>
  </si>
  <si>
    <t>Persen</t>
  </si>
  <si>
    <t xml:space="preserve">Farmasi </t>
  </si>
  <si>
    <t>Obat, Infus</t>
  </si>
  <si>
    <t>Gas Industri</t>
  </si>
  <si>
    <t>H2, O2, CO2</t>
  </si>
  <si>
    <t xml:space="preserve">Horeka </t>
  </si>
  <si>
    <t>Hotel, Resto, Kafe</t>
  </si>
  <si>
    <t xml:space="preserve">(Entry) </t>
  </si>
  <si>
    <t xml:space="preserve">Lokasi </t>
  </si>
  <si>
    <t xml:space="preserve">Provinsi </t>
  </si>
  <si>
    <t>:</t>
  </si>
  <si>
    <t xml:space="preserve"> (Drop down : Prov)</t>
  </si>
  <si>
    <t xml:space="preserve">Kota/Kabupaten : </t>
  </si>
  <si>
    <t>Surabaya</t>
  </si>
  <si>
    <t xml:space="preserve"> (Drop down Kota/Kab)</t>
  </si>
  <si>
    <t xml:space="preserve">Kecamatan : </t>
  </si>
  <si>
    <t>Genteng</t>
  </si>
  <si>
    <t xml:space="preserve"> (Drop down Kec)</t>
  </si>
  <si>
    <t xml:space="preserve">Kelurahan/Desa : </t>
  </si>
  <si>
    <t>Gentengkali</t>
  </si>
  <si>
    <t xml:space="preserve"> (Drop down Desa/Kel)</t>
  </si>
  <si>
    <t>Alamat :</t>
  </si>
  <si>
    <t xml:space="preserve">Jalan Pemuda 56 - 58 </t>
  </si>
  <si>
    <t xml:space="preserve">  (Entry)</t>
  </si>
  <si>
    <t>(Drop down : data BPS)</t>
  </si>
  <si>
    <t xml:space="preserve">Plotting By </t>
  </si>
  <si>
    <t xml:space="preserve">○ Nama Sales </t>
  </si>
  <si>
    <t xml:space="preserve">  (Drop Down : Nama Sales)</t>
  </si>
  <si>
    <t xml:space="preserve">Posisi Pelanggan </t>
  </si>
  <si>
    <t xml:space="preserve">○ Pengembangan          ○ Jalur Existing </t>
  </si>
  <si>
    <t>○ Kawasan Industri        ○ Non Kawasan Industri</t>
  </si>
  <si>
    <t>PIC Perusahaan</t>
  </si>
  <si>
    <t xml:space="preserve">Nama     </t>
  </si>
  <si>
    <t>: *</t>
  </si>
  <si>
    <t>Jabatan :</t>
  </si>
  <si>
    <t>Email</t>
  </si>
  <si>
    <t xml:space="preserve">No HP    </t>
  </si>
  <si>
    <t xml:space="preserve">: </t>
  </si>
  <si>
    <t xml:space="preserve">Direktory Industri </t>
  </si>
  <si>
    <t>Linkdin</t>
  </si>
  <si>
    <t xml:space="preserve">Input Data Industri </t>
  </si>
  <si>
    <t xml:space="preserve">Nama, Lokasi, Jenis Produksi </t>
  </si>
  <si>
    <t>Plotting Data</t>
  </si>
  <si>
    <t>Memetakan lokasi Industri</t>
  </si>
  <si>
    <t xml:space="preserve">Melakukan Visit Pertama, info kebutuhan energi </t>
  </si>
  <si>
    <t>IG</t>
  </si>
  <si>
    <t>FB</t>
  </si>
  <si>
    <t>PT PERUSAHAAN GAS NEGARA (Persero) Tbk</t>
  </si>
  <si>
    <t xml:space="preserve">Nama CalonPelanggan </t>
  </si>
  <si>
    <t>Alamat</t>
  </si>
  <si>
    <t>Kantor</t>
  </si>
  <si>
    <t xml:space="preserve">Lokasi Pemasangan </t>
  </si>
  <si>
    <t>Tagging</t>
  </si>
  <si>
    <t xml:space="preserve">Telp </t>
  </si>
  <si>
    <t xml:space="preserve">Perusahaan </t>
  </si>
  <si>
    <t xml:space="preserve">Status Kepemilikan </t>
  </si>
  <si>
    <t xml:space="preserve">Contact Person </t>
  </si>
  <si>
    <t>No. HP</t>
  </si>
  <si>
    <t>Jabatan</t>
  </si>
  <si>
    <t>Jenis Usaha / Produk</t>
  </si>
  <si>
    <t>Jenis Produk</t>
  </si>
  <si>
    <t>Jumlah Produksi</t>
  </si>
  <si>
    <t xml:space="preserve">Harga Produk </t>
  </si>
  <si>
    <t xml:space="preserve">Jumlah Produksi </t>
  </si>
  <si>
    <t>Produk Utama</t>
  </si>
  <si>
    <t>*</t>
  </si>
  <si>
    <t xml:space="preserve">Kaps/Tahun </t>
  </si>
  <si>
    <t>Catatan :</t>
  </si>
  <si>
    <t xml:space="preserve"> </t>
  </si>
  <si>
    <t>Bahan Baku (%)</t>
  </si>
  <si>
    <t xml:space="preserve">Dalam Negeri </t>
  </si>
  <si>
    <t>%</t>
  </si>
  <si>
    <t xml:space="preserve">Luar Negeri </t>
  </si>
  <si>
    <t>…</t>
  </si>
  <si>
    <t xml:space="preserve">Negara Asal </t>
  </si>
  <si>
    <t>Orientasi Pasar</t>
  </si>
  <si>
    <t>Negara Tujuan</t>
  </si>
  <si>
    <t xml:space="preserve">Jumlah Karyawan </t>
  </si>
  <si>
    <t xml:space="preserve">Orang </t>
  </si>
  <si>
    <t xml:space="preserve">Jumlah Shift </t>
  </si>
  <si>
    <t xml:space="preserve">Shift </t>
  </si>
  <si>
    <t xml:space="preserve">Jam Kerja Operasi </t>
  </si>
  <si>
    <t xml:space="preserve">Beban Puncak </t>
  </si>
  <si>
    <t xml:space="preserve">Mulai pukul       </t>
  </si>
  <si>
    <t>s.d Pukul</t>
  </si>
  <si>
    <t xml:space="preserve">Catatan : </t>
  </si>
  <si>
    <t xml:space="preserve">Kebutuhan Jasa/Produk </t>
  </si>
  <si>
    <t>Energi</t>
  </si>
  <si>
    <t>Engineriing</t>
  </si>
  <si>
    <t>O&amp;M</t>
  </si>
  <si>
    <t>Bahan Bakar Eksisting</t>
  </si>
  <si>
    <t>LPG</t>
  </si>
  <si>
    <t>CNG</t>
  </si>
  <si>
    <t>HSD</t>
  </si>
  <si>
    <t xml:space="preserve">MFO  </t>
  </si>
  <si>
    <t>Batubara</t>
  </si>
  <si>
    <t>Cangkang</t>
  </si>
  <si>
    <t>Kayu</t>
  </si>
  <si>
    <t xml:space="preserve">Lainnya </t>
  </si>
  <si>
    <t xml:space="preserve">Nama Pemasok </t>
  </si>
  <si>
    <t xml:space="preserve">Kapasitas Listrik </t>
  </si>
  <si>
    <t xml:space="preserve">Bahan Baku </t>
  </si>
  <si>
    <t>KW</t>
  </si>
  <si>
    <t xml:space="preserve">Pemakaian Listrik </t>
  </si>
  <si>
    <t>…..</t>
  </si>
  <si>
    <t>KWh</t>
  </si>
  <si>
    <t>Impor/Lokal</t>
  </si>
  <si>
    <t>Rencana Pemanfaatan Gas</t>
  </si>
  <si>
    <t>Bahan Baku</t>
  </si>
  <si>
    <t xml:space="preserve">Negara </t>
  </si>
  <si>
    <t>Bahan Bakar</t>
  </si>
  <si>
    <t xml:space="preserve">Vol : </t>
  </si>
  <si>
    <t xml:space="preserve">Per Bulan </t>
  </si>
  <si>
    <t>Pembangkit Listrik</t>
  </si>
  <si>
    <t>Transportasi Gas</t>
  </si>
  <si>
    <t>......................(Sebutkan)</t>
  </si>
  <si>
    <t xml:space="preserve">deskripsi Proses Produksi : </t>
  </si>
  <si>
    <t xml:space="preserve">Estimasi Pipa Terdekat </t>
  </si>
  <si>
    <t>meter</t>
  </si>
  <si>
    <t xml:space="preserve">PERINCIAN BAHAN BAKAR YANG DIPAKAI SAAT INI </t>
  </si>
  <si>
    <t xml:space="preserve">Jenis Peralatan </t>
  </si>
  <si>
    <t xml:space="preserve">Kapasitas / Jam  </t>
  </si>
  <si>
    <t>Pola Operasi</t>
  </si>
  <si>
    <t>Jenis Bahan Bakar</t>
  </si>
  <si>
    <t>harga bahan Bakar</t>
  </si>
  <si>
    <t>Konsumsi Energi/Bulan</t>
  </si>
  <si>
    <t>Konversi ke Gas</t>
  </si>
  <si>
    <t>Volume</t>
  </si>
  <si>
    <t>Unit</t>
  </si>
  <si>
    <t>Jam/Hari</t>
  </si>
  <si>
    <t xml:space="preserve">Hari/Minggu </t>
  </si>
  <si>
    <t>Steam Boiler</t>
  </si>
  <si>
    <t>Ton/h</t>
  </si>
  <si>
    <t>Batu Bara</t>
  </si>
  <si>
    <t>Ton</t>
  </si>
  <si>
    <t>Thermal Oil Heater</t>
  </si>
  <si>
    <t>Kkal</t>
  </si>
  <si>
    <t>Liter</t>
  </si>
  <si>
    <t>Negara  ….</t>
  </si>
  <si>
    <t>Melting Furnace</t>
  </si>
  <si>
    <t>Negara ….</t>
  </si>
  <si>
    <t xml:space="preserve">Jumlah Kebutuhan Energi </t>
  </si>
  <si>
    <t>Surveyor</t>
  </si>
  <si>
    <t>Calon Pelanggan</t>
  </si>
  <si>
    <t>Nama</t>
  </si>
  <si>
    <t>Orang</t>
  </si>
  <si>
    <t>Shift</t>
  </si>
  <si>
    <t xml:space="preserve">Jam Kerja </t>
  </si>
  <si>
    <t>Jam / hari</t>
  </si>
  <si>
    <t xml:space="preserve">Kebutuhan Energi </t>
  </si>
  <si>
    <t xml:space="preserve">○ Listrik </t>
  </si>
  <si>
    <t xml:space="preserve">○ Steam </t>
  </si>
  <si>
    <t>○ Panas</t>
  </si>
  <si>
    <t>○ Dingin</t>
  </si>
  <si>
    <t>○ Lainnya</t>
  </si>
  <si>
    <t xml:space="preserve">Kapasitas </t>
  </si>
  <si>
    <t>MW</t>
  </si>
  <si>
    <t>Ton/Jam</t>
  </si>
  <si>
    <t>TR</t>
  </si>
  <si>
    <t xml:space="preserve">Pemakaian </t>
  </si>
  <si>
    <t>Kwh</t>
  </si>
  <si>
    <t xml:space="preserve">TR </t>
  </si>
  <si>
    <t>Kapasitas  / Unit</t>
  </si>
  <si>
    <t xml:space="preserve">Pola Operasi </t>
  </si>
  <si>
    <t xml:space="preserve">Sumber Energi </t>
  </si>
  <si>
    <t xml:space="preserve">Konversi ke Gas </t>
  </si>
  <si>
    <t>Jam</t>
  </si>
  <si>
    <t>Hari</t>
  </si>
  <si>
    <t>Jenis</t>
  </si>
  <si>
    <t xml:space="preserve">Pemakaian/
Bulan </t>
  </si>
  <si>
    <t xml:space="preserve">Unit </t>
  </si>
  <si>
    <t xml:space="preserve">Ton/Jam </t>
  </si>
  <si>
    <t>(Entry, Insert Row jika &gt; 1)</t>
  </si>
  <si>
    <t xml:space="preserve">Thermal Oil Heater </t>
  </si>
  <si>
    <t>Dryer</t>
  </si>
  <si>
    <t>Jumlah Kebutuhan Energi</t>
  </si>
  <si>
    <t xml:space="preserve">Pipa Gas Terdekat </t>
  </si>
  <si>
    <t xml:space="preserve">Jarak </t>
  </si>
  <si>
    <t xml:space="preserve">Diameter </t>
  </si>
  <si>
    <t xml:space="preserve">Tekanan </t>
  </si>
  <si>
    <t xml:space="preserve">Regristrasi Berlangganan </t>
  </si>
  <si>
    <t xml:space="preserve">Tanggal </t>
  </si>
  <si>
    <t xml:space="preserve">Nama Penanggung Jawab </t>
  </si>
  <si>
    <t xml:space="preserve">Jabatan : </t>
  </si>
  <si>
    <t xml:space="preserve">Pemakaian Gas </t>
  </si>
  <si>
    <t xml:space="preserve">Periode </t>
  </si>
  <si>
    <t xml:space="preserve">s.d </t>
  </si>
  <si>
    <t xml:space="preserve">(jika ada lebih dari 1 periode maka bisa add row) </t>
  </si>
  <si>
    <t xml:space="preserve">Rata-rata </t>
  </si>
  <si>
    <t xml:space="preserve">Minimum </t>
  </si>
  <si>
    <t>Maksimum</t>
  </si>
  <si>
    <t xml:space="preserve">Permohonan Bulan dimulai </t>
  </si>
  <si>
    <t>Bulanan</t>
  </si>
  <si>
    <t>USD</t>
  </si>
  <si>
    <t>Tahunan</t>
  </si>
  <si>
    <t xml:space="preserve">Harian </t>
  </si>
  <si>
    <t xml:space="preserve">Harga Gas </t>
  </si>
  <si>
    <t>○ Harian</t>
  </si>
  <si>
    <t>○ Bulanan</t>
  </si>
  <si>
    <t>○ Tahunan</t>
  </si>
  <si>
    <t>Segment</t>
  </si>
  <si>
    <t>B1</t>
  </si>
  <si>
    <t>○ Manual</t>
  </si>
  <si>
    <t>○ Reguler</t>
  </si>
  <si>
    <t>○ SiGas</t>
  </si>
  <si>
    <t xml:space="preserve">○ Bersyarat </t>
  </si>
  <si>
    <t>Kode Harga</t>
  </si>
  <si>
    <t>B2</t>
  </si>
  <si>
    <t>○ Otomatis</t>
  </si>
  <si>
    <t>B3</t>
  </si>
  <si>
    <t>OUP :                 %</t>
  </si>
  <si>
    <t>UMP :                 %</t>
  </si>
  <si>
    <t>Silver</t>
  </si>
  <si>
    <t xml:space="preserve">Perhitungan Capex Awal </t>
  </si>
  <si>
    <t xml:space="preserve">Platinum </t>
  </si>
  <si>
    <t xml:space="preserve">MOM Penetapan Harga SiGas </t>
  </si>
  <si>
    <t xml:space="preserve">○ Tersedia </t>
  </si>
  <si>
    <t>Upload MOM</t>
  </si>
  <si>
    <t xml:space="preserve">Permohonan NOL </t>
  </si>
  <si>
    <t>○ Sama dengan A1</t>
  </si>
  <si>
    <t>Kontrak Minimum</t>
  </si>
  <si>
    <t>Kontrak Maksimum</t>
  </si>
  <si>
    <t xml:space="preserve">○ Entry </t>
  </si>
  <si>
    <t>(Pilihan Tanggal Calender)</t>
  </si>
  <si>
    <t>Biaya Capex Pre GR3</t>
  </si>
  <si>
    <t xml:space="preserve">Upload </t>
  </si>
  <si>
    <t>1. A1</t>
  </si>
  <si>
    <t xml:space="preserve">Biaya Penyambungan </t>
  </si>
  <si>
    <t>Reguler</t>
  </si>
  <si>
    <t>2. KK0</t>
  </si>
  <si>
    <t>Extra</t>
  </si>
  <si>
    <t xml:space="preserve">Jumlah </t>
  </si>
  <si>
    <t xml:space="preserve">Capex - data Final </t>
  </si>
  <si>
    <t xml:space="preserve">Pipa Induk </t>
  </si>
  <si>
    <t>m</t>
  </si>
  <si>
    <t>Inch/mm</t>
  </si>
  <si>
    <t xml:space="preserve">Pipa Service </t>
  </si>
  <si>
    <t xml:space="preserve">Spesifikasi MRS </t>
  </si>
  <si>
    <t xml:space="preserve">G.Size / Tekanan/ Maks Flowrate </t>
  </si>
  <si>
    <t xml:space="preserve">Hasil Perhitungan Kelayakan </t>
  </si>
  <si>
    <t>Internal Rate of Return (IRR)</t>
  </si>
  <si>
    <t>Net Present Value (NPV)</t>
  </si>
  <si>
    <t xml:space="preserve">Payback Period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</si>
</sst>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16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rgb="FFFF0000"/>
      <name val="Aptos Narrow"/>
    </font>
    <font>
      <sz val="11.0"/>
      <color rgb="FFFF0000"/>
      <name val="Arial"/>
    </font>
    <font>
      <sz val="11.0"/>
      <color rgb="FFFF0000"/>
      <name val="Aptos Narrow"/>
    </font>
    <font>
      <sz val="11.0"/>
      <color theme="0"/>
      <name val="Aptos Narrow"/>
    </font>
    <font>
      <sz val="11.0"/>
      <color rgb="FF0070C0"/>
      <name val="Aptos Narrow"/>
    </font>
    <font>
      <sz val="11.0"/>
      <color theme="1"/>
      <name val="Arial"/>
    </font>
    <font/>
    <font>
      <u/>
      <sz val="11.0"/>
      <color rgb="FFFF0000"/>
      <name val="Aptos Narrow"/>
    </font>
    <font>
      <sz val="10.0"/>
      <color theme="1"/>
      <name val="Aptos Narrow"/>
    </font>
    <font>
      <sz val="8.0"/>
      <color theme="1"/>
      <name val="Aptos Narrow"/>
    </font>
    <font>
      <sz val="9.0"/>
      <color theme="1"/>
      <name val="Aptos Narrow"/>
    </font>
    <font>
      <i/>
      <sz val="11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0D0D0"/>
        <bgColor rgb="FFD0D0D0"/>
      </patternFill>
    </fill>
    <fill>
      <patternFill patternType="solid">
        <fgColor rgb="FFAEAEAE"/>
        <bgColor rgb="FFAEAEAE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0070C0"/>
        <bgColor rgb="FF0070C0"/>
      </patternFill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rgb="FF00B050"/>
        <bgColor rgb="FF00B050"/>
      </patternFill>
    </fill>
    <fill>
      <patternFill patternType="solid">
        <fgColor rgb="FFDBE9F7"/>
        <bgColor rgb="FFDBE9F7"/>
      </patternFill>
    </fill>
    <fill>
      <patternFill patternType="solid">
        <fgColor rgb="FF4D94D8"/>
        <bgColor rgb="FF4D94D8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/>
      <top/>
      <bottom/>
    </border>
    <border>
      <left/>
      <right/>
      <top style="medium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0" fillId="0" fontId="2" numFmtId="0" xfId="0" applyFont="1"/>
    <xf borderId="3" fillId="2" fontId="2" numFmtId="0" xfId="0" applyBorder="1" applyFill="1" applyFont="1"/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2" fillId="0" fontId="5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4" fillId="3" fontId="2" numFmtId="0" xfId="0" applyAlignment="1" applyBorder="1" applyFill="1" applyFont="1">
      <alignment horizontal="center"/>
    </xf>
    <xf borderId="3" fillId="2" fontId="3" numFmtId="0" xfId="0" applyBorder="1" applyFont="1"/>
    <xf borderId="5" fillId="3" fontId="2" numFmtId="0" xfId="0" applyAlignment="1" applyBorder="1" applyFont="1">
      <alignment horizontal="center"/>
    </xf>
    <xf borderId="3" fillId="4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6" fillId="2" fontId="3" numFmtId="0" xfId="0" applyAlignment="1" applyBorder="1" applyFont="1">
      <alignment shrinkToFit="0" vertical="center" wrapText="1"/>
    </xf>
    <xf borderId="7" fillId="5" fontId="3" numFmtId="0" xfId="0" applyAlignment="1" applyBorder="1" applyFill="1" applyFont="1">
      <alignment horizontal="center" shrinkToFit="0" vertical="center" wrapText="1"/>
    </xf>
    <xf borderId="8" fillId="6" fontId="3" numFmtId="0" xfId="0" applyAlignment="1" applyBorder="1" applyFill="1" applyFont="1">
      <alignment horizontal="center"/>
    </xf>
    <xf borderId="3" fillId="7" fontId="3" numFmtId="0" xfId="0" applyAlignment="1" applyBorder="1" applyFill="1" applyFont="1">
      <alignment horizontal="center" shrinkToFit="0" vertical="center" wrapText="1"/>
    </xf>
    <xf borderId="8" fillId="6" fontId="3" numFmtId="0" xfId="0" applyBorder="1" applyFont="1"/>
    <xf borderId="8" fillId="6" fontId="6" numFmtId="0" xfId="0" applyBorder="1" applyFont="1"/>
    <xf borderId="9" fillId="8" fontId="3" numFmtId="0" xfId="0" applyAlignment="1" applyBorder="1" applyFill="1" applyFont="1">
      <alignment horizontal="center" shrinkToFit="0" vertical="center" wrapText="1"/>
    </xf>
    <xf borderId="8" fillId="6" fontId="8" numFmtId="0" xfId="0" applyBorder="1" applyFont="1"/>
    <xf borderId="8" fillId="6" fontId="9" numFmtId="0" xfId="0" applyAlignment="1" applyBorder="1" applyFont="1">
      <alignment horizontal="center" readingOrder="0"/>
    </xf>
    <xf borderId="10" fillId="0" fontId="10" numFmtId="0" xfId="0" applyBorder="1" applyFont="1"/>
    <xf borderId="11" fillId="6" fontId="3" numFmtId="0" xfId="0" applyAlignment="1" applyBorder="1" applyFont="1">
      <alignment horizontal="center"/>
    </xf>
    <xf borderId="8" fillId="6" fontId="5" numFmtId="0" xfId="0" applyAlignment="1" applyBorder="1" applyFont="1">
      <alignment readingOrder="0"/>
    </xf>
    <xf borderId="9" fillId="9" fontId="3" numFmtId="0" xfId="0" applyAlignment="1" applyBorder="1" applyFill="1" applyFont="1">
      <alignment horizontal="center" shrinkToFit="0" vertical="center" wrapText="1"/>
    </xf>
    <xf borderId="11" fillId="6" fontId="9" numFmtId="0" xfId="0" applyAlignment="1" applyBorder="1" applyFont="1">
      <alignment horizontal="center" readingOrder="0"/>
    </xf>
    <xf borderId="11" fillId="6" fontId="3" numFmtId="0" xfId="0" applyBorder="1" applyFont="1"/>
    <xf borderId="3" fillId="10" fontId="3" numFmtId="0" xfId="0" applyAlignment="1" applyBorder="1" applyFill="1" applyFont="1">
      <alignment horizontal="center" shrinkToFit="0" vertical="center" wrapText="1"/>
    </xf>
    <xf borderId="11" fillId="6" fontId="6" numFmtId="0" xfId="0" applyBorder="1" applyFont="1"/>
    <xf borderId="9" fillId="11" fontId="3" numFmtId="0" xfId="0" applyAlignment="1" applyBorder="1" applyFill="1" applyFont="1">
      <alignment horizontal="center" shrinkToFit="0" vertical="center" wrapText="1"/>
    </xf>
    <xf borderId="11" fillId="6" fontId="8" numFmtId="0" xfId="0" applyBorder="1" applyFont="1"/>
    <xf borderId="3" fillId="1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6" fontId="3" numFmtId="0" xfId="0" applyBorder="1" applyFont="1"/>
    <xf borderId="12" fillId="6" fontId="6" numFmtId="0" xfId="0" applyBorder="1" applyFont="1"/>
    <xf borderId="13" fillId="6" fontId="3" numFmtId="0" xfId="0" applyBorder="1" applyFont="1"/>
    <xf borderId="0" fillId="0" fontId="3" numFmtId="164" xfId="0" applyFont="1" applyNumberFormat="1"/>
    <xf borderId="14" fillId="6" fontId="6" numFmtId="0" xfId="0" applyAlignment="1" applyBorder="1" applyFont="1">
      <alignment horizontal="left"/>
    </xf>
    <xf borderId="15" fillId="0" fontId="10" numFmtId="0" xfId="0" applyBorder="1" applyFont="1"/>
    <xf quotePrefix="1" borderId="0" fillId="0" fontId="3" numFmtId="0" xfId="0" applyFont="1"/>
    <xf borderId="16" fillId="0" fontId="10" numFmtId="0" xfId="0" applyBorder="1" applyFont="1"/>
    <xf borderId="0" fillId="0" fontId="3" numFmtId="165" xfId="0" applyFont="1" applyNumberFormat="1"/>
    <xf borderId="0" fillId="0" fontId="3" numFmtId="9" xfId="0" applyFont="1" applyNumberFormat="1"/>
    <xf borderId="14" fillId="6" fontId="11" numFmtId="0" xfId="0" applyAlignment="1" applyBorder="1" applyFont="1">
      <alignment horizontal="left"/>
    </xf>
    <xf borderId="12" fillId="6" fontId="3" numFmtId="0" xfId="0" applyBorder="1" applyFont="1"/>
    <xf borderId="3" fillId="5" fontId="3" numFmtId="0" xfId="0" applyBorder="1" applyFont="1"/>
    <xf borderId="9" fillId="6" fontId="3" numFmtId="0" xfId="0" applyAlignment="1" applyBorder="1" applyFont="1">
      <alignment horizontal="left"/>
    </xf>
    <xf borderId="14" fillId="6" fontId="3" numFmtId="0" xfId="0" applyAlignment="1" applyBorder="1" applyFont="1">
      <alignment horizontal="left"/>
    </xf>
    <xf borderId="17" fillId="0" fontId="10" numFmtId="0" xfId="0" applyBorder="1" applyFont="1"/>
    <xf borderId="18" fillId="6" fontId="3" numFmtId="0" xfId="0" applyAlignment="1" applyBorder="1" applyFont="1">
      <alignment horizontal="left"/>
    </xf>
    <xf borderId="12" fillId="6" fontId="3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4" fillId="0" fontId="3" numFmtId="0" xfId="0" applyAlignment="1" applyBorder="1" applyFont="1">
      <alignment horizontal="center"/>
    </xf>
    <xf borderId="3" fillId="6" fontId="3" numFmtId="0" xfId="0" applyAlignment="1" applyBorder="1" applyFont="1">
      <alignment horizontal="left"/>
    </xf>
    <xf borderId="2" fillId="6" fontId="3" numFmtId="0" xfId="0" applyBorder="1" applyFont="1"/>
    <xf borderId="14" fillId="6" fontId="3" numFmtId="0" xfId="0" applyAlignment="1" applyBorder="1" applyFont="1">
      <alignment horizontal="center"/>
    </xf>
    <xf borderId="14" fillId="0" fontId="3" numFmtId="0" xfId="0" applyAlignment="1" applyBorder="1" applyFont="1">
      <alignment horizontal="left" shrinkToFit="0" vertical="top" wrapText="1"/>
    </xf>
    <xf borderId="13" fillId="6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19" fillId="13" fontId="3" numFmtId="0" xfId="0" applyAlignment="1" applyBorder="1" applyFill="1" applyFont="1">
      <alignment horizontal="center" vertical="center"/>
    </xf>
    <xf borderId="18" fillId="13" fontId="3" numFmtId="0" xfId="0" applyAlignment="1" applyBorder="1" applyFont="1">
      <alignment horizontal="center" vertical="center"/>
    </xf>
    <xf borderId="20" fillId="0" fontId="10" numFmtId="0" xfId="0" applyBorder="1" applyFont="1"/>
    <xf borderId="19" fillId="13" fontId="3" numFmtId="0" xfId="0" applyAlignment="1" applyBorder="1" applyFont="1">
      <alignment horizontal="center" shrinkToFit="0" vertical="center" wrapText="1"/>
    </xf>
    <xf borderId="18" fillId="13" fontId="3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11" fillId="13" fontId="3" numFmtId="0" xfId="0" applyAlignment="1" applyBorder="1" applyFont="1">
      <alignment horizontal="center" vertical="center"/>
    </xf>
    <xf borderId="11" fillId="13" fontId="3" numFmtId="0" xfId="0" applyAlignment="1" applyBorder="1" applyFont="1">
      <alignment horizontal="center" shrinkToFit="0" vertical="center" wrapText="1"/>
    </xf>
    <xf borderId="11" fillId="13" fontId="3" numFmtId="0" xfId="0" applyAlignment="1" applyBorder="1" applyFont="1">
      <alignment horizontal="center"/>
    </xf>
    <xf borderId="11" fillId="6" fontId="3" numFmtId="165" xfId="0" applyBorder="1" applyFont="1" applyNumberFormat="1"/>
    <xf borderId="22" fillId="6" fontId="3" numFmtId="0" xfId="0" applyAlignment="1" applyBorder="1" applyFont="1">
      <alignment horizontal="center"/>
    </xf>
    <xf borderId="22" fillId="6" fontId="3" numFmtId="0" xfId="0" applyBorder="1" applyFont="1"/>
    <xf borderId="4" fillId="13" fontId="3" numFmtId="0" xfId="0" applyBorder="1" applyFont="1"/>
    <xf borderId="4" fillId="13" fontId="3" numFmtId="165" xfId="0" applyBorder="1" applyFont="1" applyNumberFormat="1"/>
    <xf borderId="3" fillId="6" fontId="2" numFmtId="0" xfId="0" applyBorder="1" applyFont="1"/>
    <xf borderId="2" fillId="6" fontId="3" numFmtId="0" xfId="0" applyAlignment="1" applyBorder="1" applyFont="1">
      <alignment horizontal="center"/>
    </xf>
    <xf borderId="23" fillId="6" fontId="3" numFmtId="0" xfId="0" applyAlignment="1" applyBorder="1" applyFont="1">
      <alignment horizontal="center" shrinkToFit="0" vertical="center" wrapText="1"/>
    </xf>
    <xf borderId="24" fillId="0" fontId="10" numFmtId="0" xfId="0" applyBorder="1" applyFont="1"/>
    <xf borderId="14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" fillId="6" fontId="3" numFmtId="0" xfId="0" applyAlignment="1" applyBorder="1" applyFont="1">
      <alignment horizontal="center" shrinkToFit="0" vertical="center" wrapText="1"/>
    </xf>
    <xf borderId="27" fillId="6" fontId="3" numFmtId="0" xfId="0" applyAlignment="1" applyBorder="1" applyFont="1">
      <alignment horizontal="center" shrinkToFit="0" vertical="center" wrapText="1"/>
    </xf>
    <xf borderId="28" fillId="6" fontId="12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shrinkToFit="0" vertical="center" wrapText="1"/>
    </xf>
    <xf borderId="29" fillId="0" fontId="10" numFmtId="0" xfId="0" applyBorder="1" applyFont="1"/>
    <xf borderId="2" fillId="6" fontId="13" numFmtId="165" xfId="0" applyAlignment="1" applyBorder="1" applyFont="1" applyNumberFormat="1">
      <alignment horizontal="center"/>
    </xf>
    <xf borderId="2" fillId="6" fontId="13" numFmtId="0" xfId="0" applyAlignment="1" applyBorder="1" applyFont="1">
      <alignment horizontal="center"/>
    </xf>
    <xf borderId="2" fillId="6" fontId="14" numFmtId="0" xfId="0" applyAlignment="1" applyBorder="1" applyFont="1">
      <alignment horizontal="center"/>
    </xf>
    <xf borderId="2" fillId="6" fontId="3" numFmtId="1" xfId="0" applyAlignment="1" applyBorder="1" applyFont="1" applyNumberFormat="1">
      <alignment horizontal="center" shrinkToFit="0" vertical="center" wrapText="1"/>
    </xf>
    <xf borderId="2" fillId="6" fontId="13" numFmtId="165" xfId="0" applyBorder="1" applyFont="1" applyNumberFormat="1"/>
    <xf borderId="14" fillId="6" fontId="2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14" fillId="6" fontId="6" numFmtId="0" xfId="0" applyAlignment="1" applyBorder="1" applyFont="1">
      <alignment horizontal="right"/>
    </xf>
    <xf borderId="9" fillId="14" fontId="3" numFmtId="0" xfId="0" applyAlignment="1" applyBorder="1" applyFill="1" applyFont="1">
      <alignment horizontal="left"/>
    </xf>
    <xf borderId="30" fillId="0" fontId="3" numFmtId="0" xfId="0" applyBorder="1" applyFont="1"/>
    <xf borderId="30" fillId="0" fontId="13" numFmtId="0" xfId="0" applyBorder="1" applyFont="1"/>
    <xf borderId="9" fillId="6" fontId="3" numFmtId="0" xfId="0" applyAlignment="1" applyBorder="1" applyFont="1">
      <alignment horizontal="center"/>
    </xf>
    <xf borderId="2" fillId="15" fontId="2" numFmtId="0" xfId="0" applyAlignment="1" applyBorder="1" applyFill="1" applyFont="1">
      <alignment horizontal="center"/>
    </xf>
    <xf borderId="2" fillId="6" fontId="3" numFmtId="0" xfId="0" applyAlignment="1" applyBorder="1" applyFont="1">
      <alignment horizontal="left"/>
    </xf>
    <xf borderId="2" fillId="16" fontId="3" numFmtId="0" xfId="0" applyBorder="1" applyFill="1" applyFont="1"/>
    <xf borderId="2" fillId="16" fontId="3" numFmtId="165" xfId="0" applyBorder="1" applyFont="1" applyNumberFormat="1"/>
    <xf borderId="31" fillId="6" fontId="3" numFmtId="0" xfId="0" applyBorder="1" applyFont="1"/>
    <xf borderId="3" fillId="17" fontId="3" numFmtId="0" xfId="0" applyBorder="1" applyFill="1" applyFont="1"/>
    <xf borderId="2" fillId="18" fontId="3" numFmtId="0" xfId="0" applyBorder="1" applyFill="1" applyFont="1"/>
    <xf borderId="9" fillId="6" fontId="2" numFmtId="0" xfId="0" applyAlignment="1" applyBorder="1" applyFont="1">
      <alignment horizontal="left"/>
    </xf>
    <xf borderId="32" fillId="6" fontId="3" numFmtId="0" xfId="0" applyAlignment="1" applyBorder="1" applyFont="1">
      <alignment horizontal="left"/>
    </xf>
    <xf borderId="33" fillId="0" fontId="10" numFmtId="0" xfId="0" applyBorder="1" applyFont="1"/>
    <xf borderId="34" fillId="0" fontId="10" numFmtId="0" xfId="0" applyBorder="1" applyFont="1"/>
    <xf borderId="35" fillId="6" fontId="3" numFmtId="0" xfId="0" applyAlignment="1" applyBorder="1" applyFont="1">
      <alignment horizontal="left"/>
    </xf>
    <xf borderId="27" fillId="6" fontId="3" numFmtId="0" xfId="0" applyAlignment="1" applyBorder="1" applyFont="1">
      <alignment horizontal="center"/>
    </xf>
    <xf borderId="36" fillId="6" fontId="3" numFmtId="0" xfId="0" applyAlignment="1" applyBorder="1" applyFont="1">
      <alignment horizontal="center"/>
    </xf>
    <xf borderId="37" fillId="0" fontId="10" numFmtId="0" xfId="0" applyBorder="1" applyFont="1"/>
    <xf borderId="2" fillId="6" fontId="15" numFmtId="0" xfId="0" applyAlignment="1" applyBorder="1" applyFont="1">
      <alignment horizontal="left"/>
    </xf>
    <xf borderId="12" fillId="6" fontId="3" numFmtId="0" xfId="0" applyAlignment="1" applyBorder="1" applyFont="1">
      <alignment horizontal="center"/>
    </xf>
    <xf borderId="12" fillId="6" fontId="15" numFmtId="0" xfId="0" applyAlignment="1" applyBorder="1" applyFont="1">
      <alignment horizontal="left"/>
    </xf>
    <xf borderId="11" fillId="6" fontId="15" numFmtId="0" xfId="0" applyAlignment="1" applyBorder="1" applyFont="1">
      <alignment horizontal="left"/>
    </xf>
    <xf borderId="13" fillId="6" fontId="15" numFmtId="0" xfId="0" applyAlignment="1" applyBorder="1" applyFont="1">
      <alignment horizontal="left"/>
    </xf>
    <xf borderId="14" fillId="6" fontId="1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indonesia1945.com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0.88"/>
    <col customWidth="1" min="3" max="3" width="11.13"/>
    <col customWidth="1" min="4" max="4" width="9.88"/>
    <col customWidth="1" min="5" max="5" width="16.13"/>
    <col customWidth="1" min="6" max="6" width="7.13"/>
    <col customWidth="1" min="7" max="7" width="5.88"/>
    <col customWidth="1" min="8" max="8" width="6.0"/>
    <col customWidth="1" min="9" max="9" width="7.75"/>
    <col customWidth="1" min="10" max="10" width="11.25"/>
    <col customWidth="1" min="11" max="11" width="10.75"/>
    <col customWidth="1" min="12" max="12" width="4.88"/>
    <col customWidth="1" min="13" max="13" width="11.5"/>
    <col customWidth="1" min="14" max="14" width="26.13"/>
    <col customWidth="1" min="15" max="15" width="10.75"/>
    <col customWidth="1" min="16" max="16" width="10.13"/>
    <col customWidth="1" min="17" max="19" width="8.75"/>
    <col customWidth="1" min="20" max="26" width="8.63"/>
  </cols>
  <sheetData>
    <row r="1" ht="14.25" customHeight="1">
      <c r="A1" s="3" t="s">
        <v>9</v>
      </c>
      <c r="N1" s="7"/>
      <c r="O1" s="7"/>
      <c r="P1" s="7"/>
      <c r="Q1" s="7"/>
      <c r="R1" s="7"/>
      <c r="S1" s="7"/>
      <c r="T1" s="6"/>
      <c r="U1" s="6"/>
      <c r="V1" s="6"/>
      <c r="W1" s="6"/>
      <c r="X1" s="6"/>
      <c r="Y1" s="6"/>
      <c r="Z1" s="6"/>
    </row>
    <row r="2" ht="14.25" customHeight="1">
      <c r="C2" s="12">
        <v>1.0</v>
      </c>
      <c r="D2" s="12">
        <v>2.0</v>
      </c>
      <c r="E2" s="12">
        <v>3.0</v>
      </c>
      <c r="F2" s="12">
        <v>4.0</v>
      </c>
      <c r="G2" s="12"/>
      <c r="H2" s="12">
        <v>5.0</v>
      </c>
      <c r="I2" s="12"/>
      <c r="J2" s="12">
        <v>6.0</v>
      </c>
      <c r="K2" s="12">
        <v>7.0</v>
      </c>
      <c r="L2" s="12"/>
      <c r="M2" s="12">
        <v>8.0</v>
      </c>
      <c r="N2" s="14"/>
      <c r="O2" s="14"/>
      <c r="P2" s="14"/>
      <c r="Q2" s="14"/>
      <c r="R2" s="14"/>
      <c r="S2" s="14"/>
    </row>
    <row r="3" ht="40.5" customHeight="1">
      <c r="A3" s="16" t="s">
        <v>27</v>
      </c>
      <c r="B3" s="17"/>
      <c r="C3" s="18" t="s">
        <v>29</v>
      </c>
      <c r="D3" s="19" t="s">
        <v>30</v>
      </c>
      <c r="E3" s="21" t="s">
        <v>31</v>
      </c>
      <c r="F3" s="24" t="s">
        <v>33</v>
      </c>
      <c r="G3" s="27"/>
      <c r="H3" s="30" t="s">
        <v>36</v>
      </c>
      <c r="I3" s="27"/>
      <c r="J3" s="33" t="s">
        <v>38</v>
      </c>
      <c r="K3" s="35" t="s">
        <v>41</v>
      </c>
      <c r="L3" s="27"/>
      <c r="M3" s="37" t="s">
        <v>44</v>
      </c>
      <c r="N3" s="38"/>
      <c r="O3" s="38"/>
      <c r="P3" s="38"/>
      <c r="Q3" s="38"/>
      <c r="R3" s="38"/>
      <c r="S3" s="38"/>
      <c r="T3" s="17"/>
      <c r="U3" s="17"/>
      <c r="V3" s="17"/>
      <c r="W3" s="17"/>
      <c r="X3" s="17"/>
      <c r="Y3" s="17"/>
      <c r="Z3" s="17"/>
    </row>
    <row r="4" ht="14.25" customHeight="1">
      <c r="A4" s="14"/>
      <c r="B4" s="14"/>
      <c r="C4" s="14"/>
      <c r="D4" s="39"/>
      <c r="E4" s="39"/>
      <c r="F4" s="39"/>
      <c r="G4" s="39"/>
      <c r="H4" s="39"/>
      <c r="I4" s="39"/>
      <c r="J4" s="39"/>
      <c r="K4" s="39"/>
      <c r="L4" s="39"/>
      <c r="M4" s="39"/>
      <c r="N4" s="14"/>
      <c r="O4" s="14"/>
      <c r="P4" s="14"/>
      <c r="Q4" s="14"/>
      <c r="R4" s="14"/>
      <c r="S4" s="14"/>
    </row>
    <row r="5" ht="14.25" customHeight="1">
      <c r="A5" s="14"/>
      <c r="B5" s="14"/>
      <c r="C5" s="14">
        <v>1.0</v>
      </c>
      <c r="D5" s="39" t="s">
        <v>58</v>
      </c>
      <c r="E5" s="39"/>
      <c r="F5" s="40" t="s">
        <v>59</v>
      </c>
      <c r="G5" s="34"/>
      <c r="H5" s="34"/>
      <c r="I5" s="32"/>
      <c r="J5" s="32"/>
      <c r="K5" s="32"/>
      <c r="L5" s="32"/>
      <c r="M5" s="41"/>
      <c r="N5" s="14" t="s">
        <v>63</v>
      </c>
      <c r="O5" s="14"/>
      <c r="P5" s="14"/>
      <c r="Q5" s="14"/>
      <c r="R5" s="14"/>
      <c r="S5" s="14"/>
    </row>
    <row r="6" ht="14.25" customHeight="1">
      <c r="A6" s="14"/>
      <c r="B6" s="14"/>
      <c r="C6" s="14"/>
      <c r="D6" s="39"/>
      <c r="E6" s="39"/>
      <c r="F6" s="39"/>
      <c r="G6" s="39"/>
      <c r="H6" s="39"/>
      <c r="I6" s="39"/>
      <c r="J6" s="39"/>
      <c r="K6" s="39"/>
      <c r="L6" s="39"/>
      <c r="M6" s="39"/>
      <c r="N6" s="14" t="s">
        <v>66</v>
      </c>
      <c r="O6" s="14"/>
      <c r="P6" s="14"/>
      <c r="Q6" s="14"/>
      <c r="R6" s="14"/>
      <c r="S6" s="14"/>
    </row>
    <row r="7" ht="14.25" customHeight="1">
      <c r="A7" s="14"/>
      <c r="B7" s="14"/>
      <c r="C7" s="14">
        <v>1.0</v>
      </c>
      <c r="D7" s="39" t="s">
        <v>68</v>
      </c>
      <c r="E7" s="39"/>
      <c r="F7" s="43" t="s">
        <v>69</v>
      </c>
      <c r="G7" s="44"/>
      <c r="H7" s="44"/>
      <c r="I7" s="44"/>
      <c r="J7" s="44"/>
      <c r="K7" s="44"/>
      <c r="L7" s="44"/>
      <c r="M7" s="46"/>
      <c r="N7" s="14" t="s">
        <v>78</v>
      </c>
      <c r="O7" s="14"/>
      <c r="P7" s="14"/>
      <c r="Q7" s="14"/>
      <c r="R7" s="14"/>
      <c r="S7" s="14"/>
    </row>
    <row r="8" ht="14.25" customHeight="1">
      <c r="A8" s="14"/>
      <c r="B8" s="14"/>
      <c r="C8" s="14"/>
      <c r="D8" s="39"/>
      <c r="E8" s="39"/>
      <c r="F8" s="39"/>
      <c r="G8" s="39"/>
      <c r="H8" s="39"/>
      <c r="I8" s="39"/>
      <c r="J8" s="39"/>
      <c r="K8" s="39"/>
      <c r="L8" s="39"/>
      <c r="M8" s="39"/>
      <c r="N8" s="14"/>
      <c r="O8" s="14"/>
      <c r="P8" s="14"/>
      <c r="Q8" s="14"/>
      <c r="R8" s="14"/>
      <c r="S8" s="14"/>
    </row>
    <row r="9" ht="14.25" customHeight="1">
      <c r="A9" s="14"/>
      <c r="B9" s="14"/>
      <c r="C9" s="14">
        <v>1.0</v>
      </c>
      <c r="D9" s="39" t="s">
        <v>99</v>
      </c>
      <c r="E9" s="39"/>
      <c r="F9" s="49" t="s">
        <v>102</v>
      </c>
      <c r="G9" s="44"/>
      <c r="H9" s="44"/>
      <c r="I9" s="44"/>
      <c r="J9" s="44"/>
      <c r="K9" s="44"/>
      <c r="L9" s="44"/>
      <c r="M9" s="46"/>
      <c r="N9" s="14" t="s">
        <v>112</v>
      </c>
      <c r="O9" s="14"/>
      <c r="P9" s="14"/>
      <c r="Q9" s="14"/>
      <c r="R9" s="14"/>
      <c r="S9" s="14"/>
    </row>
    <row r="10" ht="14.25" customHeight="1">
      <c r="A10" s="14"/>
      <c r="B10" s="14"/>
      <c r="C10" s="14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14"/>
      <c r="O10" s="14"/>
      <c r="P10" s="14"/>
      <c r="Q10" s="14"/>
      <c r="R10" s="14"/>
      <c r="S10" s="14"/>
    </row>
    <row r="11" ht="14.25" customHeight="1">
      <c r="A11" s="14"/>
      <c r="B11" s="14"/>
      <c r="C11" s="14">
        <v>1.0</v>
      </c>
      <c r="D11" s="39" t="s">
        <v>113</v>
      </c>
      <c r="E11" s="39"/>
      <c r="F11" s="50" t="s">
        <v>114</v>
      </c>
      <c r="G11" s="32"/>
      <c r="H11" s="32"/>
      <c r="I11" s="32" t="s">
        <v>115</v>
      </c>
      <c r="J11" s="34" t="s">
        <v>16</v>
      </c>
      <c r="K11" s="32"/>
      <c r="L11" s="32"/>
      <c r="M11" s="41"/>
      <c r="N11" s="14" t="s">
        <v>116</v>
      </c>
      <c r="O11" s="14"/>
      <c r="P11" s="14"/>
      <c r="Q11" s="14"/>
      <c r="R11" s="14"/>
      <c r="S11" s="14"/>
    </row>
    <row r="12" ht="14.25" customHeight="1">
      <c r="A12" s="14"/>
      <c r="B12" s="14"/>
      <c r="C12" s="14"/>
      <c r="D12" s="39"/>
      <c r="E12" s="39"/>
      <c r="F12" s="50" t="s">
        <v>117</v>
      </c>
      <c r="G12" s="32"/>
      <c r="H12" s="32"/>
      <c r="I12" s="32" t="s">
        <v>115</v>
      </c>
      <c r="J12" s="34" t="s">
        <v>118</v>
      </c>
      <c r="K12" s="32"/>
      <c r="L12" s="32"/>
      <c r="M12" s="41"/>
      <c r="N12" s="14" t="s">
        <v>119</v>
      </c>
      <c r="O12" s="14"/>
      <c r="P12" s="14"/>
      <c r="Q12" s="14"/>
      <c r="R12" s="14"/>
      <c r="S12" s="14"/>
    </row>
    <row r="13" ht="14.25" customHeight="1">
      <c r="A13" s="14"/>
      <c r="B13" s="14"/>
      <c r="C13" s="14"/>
      <c r="D13" s="39"/>
      <c r="E13" s="39"/>
      <c r="F13" s="50" t="s">
        <v>120</v>
      </c>
      <c r="G13" s="32"/>
      <c r="H13" s="32"/>
      <c r="I13" s="32" t="s">
        <v>115</v>
      </c>
      <c r="J13" s="34" t="s">
        <v>121</v>
      </c>
      <c r="K13" s="32"/>
      <c r="L13" s="32"/>
      <c r="M13" s="41"/>
      <c r="N13" s="14" t="s">
        <v>122</v>
      </c>
      <c r="O13" s="14"/>
      <c r="P13" s="14"/>
      <c r="Q13" s="14"/>
      <c r="R13" s="14"/>
      <c r="S13" s="14"/>
    </row>
    <row r="14" ht="14.25" customHeight="1">
      <c r="A14" s="14"/>
      <c r="B14" s="14"/>
      <c r="C14" s="14"/>
      <c r="D14" s="39"/>
      <c r="E14" s="39"/>
      <c r="F14" s="50" t="s">
        <v>123</v>
      </c>
      <c r="G14" s="32"/>
      <c r="H14" s="32"/>
      <c r="I14" s="32" t="s">
        <v>115</v>
      </c>
      <c r="J14" s="34" t="s">
        <v>124</v>
      </c>
      <c r="K14" s="32"/>
      <c r="L14" s="32"/>
      <c r="M14" s="41"/>
      <c r="N14" s="14" t="s">
        <v>125</v>
      </c>
      <c r="O14" s="14"/>
      <c r="P14" s="14"/>
      <c r="Q14" s="14"/>
      <c r="R14" s="14"/>
      <c r="S14" s="14"/>
    </row>
    <row r="15" ht="14.25" customHeight="1">
      <c r="A15" s="14"/>
      <c r="B15" s="14"/>
      <c r="C15" s="14"/>
      <c r="D15" s="39"/>
      <c r="E15" s="39"/>
      <c r="F15" s="50" t="s">
        <v>126</v>
      </c>
      <c r="G15" s="32"/>
      <c r="H15" s="32"/>
      <c r="I15" s="32" t="s">
        <v>115</v>
      </c>
      <c r="J15" s="34" t="s">
        <v>127</v>
      </c>
      <c r="K15" s="32"/>
      <c r="L15" s="32"/>
      <c r="M15" s="41"/>
      <c r="N15" s="14" t="s">
        <v>128</v>
      </c>
      <c r="O15" s="14"/>
      <c r="P15" s="14"/>
      <c r="Q15" s="14"/>
      <c r="R15" s="14"/>
      <c r="S15" s="14"/>
    </row>
    <row r="16" ht="14.25" customHeight="1">
      <c r="A16" s="14"/>
      <c r="B16" s="14"/>
      <c r="C16" s="14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4"/>
      <c r="O16" s="14"/>
      <c r="P16" s="14"/>
      <c r="Q16" s="14"/>
      <c r="R16" s="14"/>
      <c r="S16" s="14"/>
    </row>
    <row r="17" ht="14.25" customHeight="1">
      <c r="A17" s="14"/>
      <c r="B17" s="14"/>
      <c r="C17" s="14">
        <v>1.0</v>
      </c>
      <c r="D17" s="39" t="s">
        <v>13</v>
      </c>
      <c r="E17" s="39"/>
      <c r="F17" s="43" t="s">
        <v>98</v>
      </c>
      <c r="G17" s="44"/>
      <c r="H17" s="44"/>
      <c r="I17" s="44"/>
      <c r="J17" s="44"/>
      <c r="K17" s="44"/>
      <c r="L17" s="44"/>
      <c r="M17" s="46"/>
      <c r="N17" s="14" t="s">
        <v>129</v>
      </c>
      <c r="O17" s="14"/>
      <c r="P17" s="14"/>
      <c r="Q17" s="14"/>
      <c r="R17" s="14"/>
      <c r="S17" s="14"/>
    </row>
    <row r="18" ht="14.25" customHeight="1">
      <c r="A18" s="14"/>
      <c r="B18" s="14"/>
      <c r="C18" s="14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4"/>
      <c r="O18" s="14"/>
      <c r="P18" s="14"/>
      <c r="Q18" s="14"/>
      <c r="R18" s="14"/>
      <c r="S18" s="14"/>
    </row>
    <row r="19" ht="14.25" customHeight="1">
      <c r="A19" s="14"/>
      <c r="B19" s="14"/>
      <c r="C19" s="51">
        <v>2.0</v>
      </c>
      <c r="D19" s="52" t="s">
        <v>130</v>
      </c>
      <c r="E19" s="27"/>
      <c r="F19" s="53" t="s">
        <v>131</v>
      </c>
      <c r="G19" s="44"/>
      <c r="H19" s="44"/>
      <c r="I19" s="44"/>
      <c r="J19" s="44"/>
      <c r="K19" s="44"/>
      <c r="L19" s="44"/>
      <c r="M19" s="46"/>
      <c r="N19" s="14" t="s">
        <v>132</v>
      </c>
      <c r="O19" s="14"/>
      <c r="P19" s="14"/>
      <c r="Q19" s="14"/>
      <c r="R19" s="14"/>
      <c r="S19" s="14"/>
    </row>
    <row r="20" ht="14.25" customHeight="1">
      <c r="A20" s="14"/>
      <c r="B20" s="14"/>
      <c r="C20" s="14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4"/>
      <c r="O20" s="14"/>
      <c r="P20" s="14"/>
      <c r="Q20" s="14"/>
      <c r="R20" s="14"/>
      <c r="S20" s="14"/>
    </row>
    <row r="21" ht="14.25" customHeight="1">
      <c r="A21" s="14"/>
      <c r="B21" s="14"/>
      <c r="C21" s="51">
        <v>2.0</v>
      </c>
      <c r="D21" s="52" t="s">
        <v>133</v>
      </c>
      <c r="E21" s="54"/>
      <c r="F21" s="53" t="s">
        <v>134</v>
      </c>
      <c r="G21" s="44"/>
      <c r="H21" s="44"/>
      <c r="I21" s="44"/>
      <c r="J21" s="44"/>
      <c r="K21" s="44"/>
      <c r="L21" s="44"/>
      <c r="M21" s="46"/>
      <c r="N21" s="14"/>
      <c r="O21" s="14"/>
      <c r="P21" s="14"/>
      <c r="Q21" s="14"/>
      <c r="R21" s="14"/>
      <c r="S21" s="14"/>
    </row>
    <row r="22" ht="14.25" customHeight="1">
      <c r="A22" s="14"/>
      <c r="B22" s="14"/>
      <c r="C22" s="14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14"/>
      <c r="O22" s="14"/>
      <c r="P22" s="14"/>
      <c r="Q22" s="14"/>
      <c r="R22" s="14"/>
      <c r="S22" s="14"/>
    </row>
    <row r="23" ht="14.25" customHeight="1">
      <c r="A23" s="14"/>
      <c r="B23" s="14"/>
      <c r="C23" s="51">
        <v>2.0</v>
      </c>
      <c r="D23" s="39" t="s">
        <v>12</v>
      </c>
      <c r="E23" s="39"/>
      <c r="F23" s="53" t="s">
        <v>135</v>
      </c>
      <c r="G23" s="44"/>
      <c r="H23" s="44"/>
      <c r="I23" s="44"/>
      <c r="J23" s="44"/>
      <c r="K23" s="44"/>
      <c r="L23" s="44"/>
      <c r="M23" s="46"/>
      <c r="N23" s="14"/>
      <c r="O23" s="14"/>
      <c r="P23" s="14"/>
      <c r="Q23" s="14"/>
      <c r="R23" s="14"/>
      <c r="S23" s="14"/>
    </row>
    <row r="24" ht="14.25" customHeight="1">
      <c r="A24" s="14"/>
      <c r="B24" s="14"/>
      <c r="C24" s="14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14"/>
      <c r="O24" s="14"/>
      <c r="P24" s="14"/>
      <c r="Q24" s="14"/>
      <c r="R24" s="14"/>
      <c r="S24" s="14"/>
    </row>
    <row r="25" ht="14.25" customHeight="1">
      <c r="A25" s="14"/>
      <c r="B25" s="14"/>
      <c r="C25" s="14">
        <v>3.0</v>
      </c>
      <c r="D25" s="39" t="s">
        <v>136</v>
      </c>
      <c r="E25" s="39"/>
      <c r="F25" s="50" t="s">
        <v>137</v>
      </c>
      <c r="G25" s="55" t="s">
        <v>138</v>
      </c>
      <c r="H25" s="44"/>
      <c r="I25" s="44"/>
      <c r="J25" s="44"/>
      <c r="K25" s="44"/>
      <c r="L25" s="44"/>
      <c r="M25" s="46"/>
      <c r="N25" s="14"/>
      <c r="O25" s="14"/>
      <c r="P25" s="14"/>
      <c r="Q25" s="14"/>
      <c r="R25" s="14"/>
      <c r="S25" s="14"/>
    </row>
    <row r="26" ht="14.25" customHeight="1">
      <c r="A26" s="14"/>
      <c r="B26" s="14"/>
      <c r="C26" s="14"/>
      <c r="D26" s="39"/>
      <c r="E26" s="39"/>
      <c r="F26" s="50" t="s">
        <v>139</v>
      </c>
      <c r="G26" s="55" t="s">
        <v>138</v>
      </c>
      <c r="H26" s="44"/>
      <c r="I26" s="44"/>
      <c r="J26" s="44"/>
      <c r="K26" s="44"/>
      <c r="L26" s="44"/>
      <c r="M26" s="46"/>
      <c r="N26" s="14"/>
      <c r="O26" s="14"/>
      <c r="P26" s="14"/>
      <c r="Q26" s="14"/>
      <c r="R26" s="14"/>
      <c r="S26" s="14"/>
    </row>
    <row r="27" ht="14.25" customHeight="1">
      <c r="A27" s="14"/>
      <c r="B27" s="14"/>
      <c r="C27" s="14"/>
      <c r="D27" s="39"/>
      <c r="E27" s="39"/>
      <c r="F27" s="50" t="s">
        <v>140</v>
      </c>
      <c r="G27" s="55" t="s">
        <v>115</v>
      </c>
      <c r="H27" s="44"/>
      <c r="I27" s="44"/>
      <c r="J27" s="44"/>
      <c r="K27" s="44"/>
      <c r="L27" s="44"/>
      <c r="M27" s="46"/>
      <c r="N27" s="14"/>
      <c r="O27" s="14"/>
      <c r="P27" s="14"/>
      <c r="Q27" s="14"/>
      <c r="R27" s="14"/>
      <c r="S27" s="14"/>
    </row>
    <row r="28" ht="14.25" customHeight="1">
      <c r="A28" s="14"/>
      <c r="B28" s="14"/>
      <c r="C28" s="14"/>
      <c r="D28" s="39"/>
      <c r="E28" s="39"/>
      <c r="F28" s="50" t="s">
        <v>141</v>
      </c>
      <c r="G28" s="55" t="s">
        <v>142</v>
      </c>
      <c r="H28" s="44"/>
      <c r="I28" s="44"/>
      <c r="J28" s="44"/>
      <c r="K28" s="44"/>
      <c r="L28" s="44"/>
      <c r="M28" s="46"/>
      <c r="N28" s="14"/>
      <c r="O28" s="14"/>
      <c r="P28" s="14"/>
      <c r="Q28" s="14"/>
      <c r="R28" s="14"/>
      <c r="S28" s="14"/>
    </row>
    <row r="29" ht="14.25" customHeight="1">
      <c r="A29" s="14"/>
      <c r="B29" s="14"/>
      <c r="C29" s="14"/>
      <c r="D29" s="39"/>
      <c r="E29" s="39"/>
      <c r="F29" s="56" t="s">
        <v>144</v>
      </c>
      <c r="G29" s="55" t="s">
        <v>142</v>
      </c>
      <c r="H29" s="44"/>
      <c r="I29" s="44"/>
      <c r="J29" s="44"/>
      <c r="K29" s="44"/>
      <c r="L29" s="44"/>
      <c r="M29" s="46"/>
      <c r="N29" s="14"/>
      <c r="O29" s="14"/>
      <c r="P29" s="14"/>
      <c r="Q29" s="14"/>
      <c r="R29" s="14"/>
      <c r="S29" s="14"/>
    </row>
    <row r="30" ht="14.25" customHeight="1">
      <c r="A30" s="14"/>
      <c r="B30" s="14"/>
      <c r="C30" s="14"/>
      <c r="D30" s="39"/>
      <c r="E30" s="39"/>
      <c r="F30" s="56" t="s">
        <v>150</v>
      </c>
      <c r="G30" s="55" t="s">
        <v>142</v>
      </c>
      <c r="H30" s="44"/>
      <c r="I30" s="44"/>
      <c r="J30" s="44"/>
      <c r="K30" s="44"/>
      <c r="L30" s="44"/>
      <c r="M30" s="46"/>
      <c r="N30" s="14"/>
      <c r="O30" s="14"/>
      <c r="P30" s="14"/>
      <c r="Q30" s="14"/>
      <c r="R30" s="14"/>
      <c r="S30" s="14"/>
    </row>
    <row r="31" ht="14.25" customHeight="1">
      <c r="A31" s="14"/>
      <c r="B31" s="14"/>
      <c r="C31" s="14"/>
      <c r="D31" s="39"/>
      <c r="E31" s="39"/>
      <c r="F31" s="56" t="s">
        <v>151</v>
      </c>
      <c r="G31" s="55" t="s">
        <v>142</v>
      </c>
      <c r="H31" s="44"/>
      <c r="I31" s="44"/>
      <c r="J31" s="44"/>
      <c r="K31" s="44"/>
      <c r="L31" s="44"/>
      <c r="M31" s="46"/>
      <c r="N31" s="14"/>
      <c r="O31" s="14"/>
      <c r="P31" s="14"/>
      <c r="Q31" s="14"/>
      <c r="R31" s="14"/>
      <c r="S31" s="14"/>
    </row>
    <row r="32" ht="14.25" customHeight="1">
      <c r="A32" s="14"/>
      <c r="B32" s="14"/>
      <c r="C32" s="14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14"/>
      <c r="O32" s="14"/>
      <c r="P32" s="14"/>
      <c r="Q32" s="14"/>
      <c r="R32" s="14"/>
      <c r="S32" s="14"/>
    </row>
    <row r="33" ht="14.25" customHeight="1">
      <c r="A33" s="39"/>
      <c r="B33" s="39"/>
      <c r="C33" s="39"/>
      <c r="D33" s="39"/>
      <c r="E33" s="39"/>
      <c r="F33" s="50" t="s">
        <v>137</v>
      </c>
      <c r="G33" s="55" t="s">
        <v>138</v>
      </c>
      <c r="H33" s="44"/>
      <c r="I33" s="44"/>
      <c r="J33" s="44"/>
      <c r="K33" s="44"/>
      <c r="L33" s="44"/>
      <c r="M33" s="46"/>
      <c r="N33" s="14"/>
      <c r="O33" s="14"/>
      <c r="P33" s="14"/>
      <c r="Q33" s="14"/>
      <c r="R33" s="14"/>
      <c r="S33" s="14"/>
    </row>
    <row r="34" ht="14.25" customHeight="1">
      <c r="A34" s="39"/>
      <c r="B34" s="39"/>
      <c r="C34" s="39"/>
      <c r="D34" s="39"/>
      <c r="E34" s="39"/>
      <c r="F34" s="50" t="s">
        <v>139</v>
      </c>
      <c r="G34" s="55" t="s">
        <v>138</v>
      </c>
      <c r="H34" s="44"/>
      <c r="I34" s="44"/>
      <c r="J34" s="44"/>
      <c r="K34" s="44"/>
      <c r="L34" s="44"/>
      <c r="M34" s="46"/>
      <c r="N34" s="14"/>
      <c r="O34" s="14"/>
      <c r="P34" s="14"/>
      <c r="Q34" s="14"/>
      <c r="R34" s="14"/>
      <c r="S34" s="14"/>
    </row>
    <row r="35" ht="14.25" customHeight="1">
      <c r="A35" s="39"/>
      <c r="B35" s="39"/>
      <c r="C35" s="39"/>
      <c r="D35" s="39"/>
      <c r="E35" s="39"/>
      <c r="F35" s="50" t="s">
        <v>140</v>
      </c>
      <c r="G35" s="55" t="s">
        <v>115</v>
      </c>
      <c r="H35" s="44"/>
      <c r="I35" s="44"/>
      <c r="J35" s="44"/>
      <c r="K35" s="44"/>
      <c r="L35" s="44"/>
      <c r="M35" s="46"/>
      <c r="N35" s="14"/>
      <c r="O35" s="14"/>
      <c r="P35" s="14"/>
      <c r="Q35" s="14"/>
      <c r="R35" s="14"/>
      <c r="S35" s="14"/>
    </row>
    <row r="36" ht="14.25" customHeight="1">
      <c r="A36" s="39"/>
      <c r="B36" s="39"/>
      <c r="C36" s="39"/>
      <c r="D36" s="39"/>
      <c r="E36" s="39"/>
      <c r="F36" s="50" t="s">
        <v>141</v>
      </c>
      <c r="G36" s="55" t="s">
        <v>142</v>
      </c>
      <c r="H36" s="44"/>
      <c r="I36" s="44"/>
      <c r="J36" s="44"/>
      <c r="K36" s="44"/>
      <c r="L36" s="44"/>
      <c r="M36" s="46"/>
      <c r="N36" s="14"/>
      <c r="O36" s="14"/>
      <c r="P36" s="14"/>
      <c r="Q36" s="14"/>
      <c r="R36" s="14"/>
      <c r="S36" s="14"/>
    </row>
    <row r="37" ht="14.25" customHeight="1">
      <c r="A37" s="39"/>
      <c r="B37" s="39"/>
      <c r="C37" s="39"/>
      <c r="D37" s="39"/>
      <c r="E37" s="39"/>
      <c r="F37" s="56" t="s">
        <v>144</v>
      </c>
      <c r="G37" s="55" t="s">
        <v>142</v>
      </c>
      <c r="H37" s="44"/>
      <c r="I37" s="44"/>
      <c r="J37" s="44"/>
      <c r="K37" s="44"/>
      <c r="L37" s="44"/>
      <c r="M37" s="46"/>
      <c r="N37" s="14"/>
      <c r="O37" s="14"/>
      <c r="P37" s="14"/>
      <c r="Q37" s="14"/>
      <c r="R37" s="14"/>
      <c r="S37" s="14"/>
    </row>
    <row r="38" ht="14.25" customHeight="1">
      <c r="A38" s="39"/>
      <c r="B38" s="39"/>
      <c r="C38" s="39"/>
      <c r="D38" s="39"/>
      <c r="E38" s="39"/>
      <c r="F38" s="56" t="s">
        <v>150</v>
      </c>
      <c r="G38" s="55" t="s">
        <v>142</v>
      </c>
      <c r="H38" s="44"/>
      <c r="I38" s="44"/>
      <c r="J38" s="44"/>
      <c r="K38" s="44"/>
      <c r="L38" s="44"/>
      <c r="M38" s="46"/>
      <c r="N38" s="14"/>
      <c r="O38" s="14"/>
      <c r="P38" s="14"/>
      <c r="Q38" s="14"/>
      <c r="R38" s="14"/>
      <c r="S38" s="14"/>
    </row>
    <row r="39" ht="14.25" customHeight="1">
      <c r="A39" s="39"/>
      <c r="B39" s="39"/>
      <c r="C39" s="39"/>
      <c r="D39" s="39"/>
      <c r="E39" s="39"/>
      <c r="F39" s="56" t="s">
        <v>151</v>
      </c>
      <c r="G39" s="55" t="s">
        <v>142</v>
      </c>
      <c r="H39" s="44"/>
      <c r="I39" s="44"/>
      <c r="J39" s="44"/>
      <c r="K39" s="44"/>
      <c r="L39" s="44"/>
      <c r="M39" s="46"/>
      <c r="N39" s="14"/>
      <c r="O39" s="14"/>
      <c r="P39" s="14"/>
      <c r="Q39" s="14"/>
      <c r="R39" s="14"/>
      <c r="S39" s="14"/>
    </row>
    <row r="40" ht="14.25" customHeight="1">
      <c r="A40" s="39"/>
      <c r="B40" s="39"/>
      <c r="C40" s="39"/>
      <c r="D40" s="39"/>
      <c r="E40" s="39"/>
      <c r="F40" s="59"/>
      <c r="G40" s="59"/>
      <c r="H40" s="59"/>
      <c r="I40" s="59"/>
      <c r="J40" s="59"/>
      <c r="K40" s="59"/>
      <c r="L40" s="59"/>
      <c r="M40" s="59"/>
      <c r="N40" s="14"/>
      <c r="O40" s="14"/>
      <c r="P40" s="14"/>
      <c r="Q40" s="14"/>
      <c r="R40" s="14"/>
      <c r="S40" s="14"/>
    </row>
    <row r="41" ht="14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14"/>
      <c r="O41" s="14"/>
      <c r="P41" s="14"/>
      <c r="Q41" s="14"/>
      <c r="R41" s="14"/>
      <c r="S41" s="14"/>
    </row>
    <row r="42" ht="14.25" customHeight="1">
      <c r="A42" s="39"/>
      <c r="B42" s="39"/>
      <c r="C42" s="39"/>
      <c r="D42" s="52" t="s">
        <v>169</v>
      </c>
      <c r="E42" s="27"/>
      <c r="F42" s="53" t="s">
        <v>170</v>
      </c>
      <c r="G42" s="44"/>
      <c r="H42" s="44"/>
      <c r="I42" s="46"/>
      <c r="J42" s="60" t="s">
        <v>171</v>
      </c>
      <c r="K42" s="61"/>
      <c r="L42" s="46"/>
      <c r="M42" s="60" t="s">
        <v>173</v>
      </c>
      <c r="N42" s="14"/>
      <c r="O42" s="14"/>
      <c r="P42" s="14"/>
      <c r="Q42" s="14"/>
      <c r="R42" s="14"/>
      <c r="S42" s="14"/>
    </row>
    <row r="43" ht="14.25" customHeight="1">
      <c r="A43" s="39"/>
      <c r="B43" s="39"/>
      <c r="C43" s="39"/>
      <c r="D43" s="39"/>
      <c r="E43" s="39"/>
      <c r="F43" s="53" t="s">
        <v>178</v>
      </c>
      <c r="G43" s="44"/>
      <c r="H43" s="44"/>
      <c r="I43" s="46"/>
      <c r="J43" s="60" t="s">
        <v>171</v>
      </c>
      <c r="K43" s="61"/>
      <c r="L43" s="46"/>
      <c r="M43" s="5"/>
      <c r="N43" s="14"/>
      <c r="O43" s="14"/>
      <c r="P43" s="14"/>
      <c r="Q43" s="14"/>
      <c r="R43" s="14"/>
      <c r="S43" s="14"/>
    </row>
    <row r="44" ht="14.25" customHeight="1">
      <c r="A44" s="39"/>
      <c r="B44" s="39"/>
      <c r="C44" s="39"/>
      <c r="D44" s="39"/>
      <c r="E44" s="39"/>
      <c r="F44" s="53" t="s">
        <v>178</v>
      </c>
      <c r="G44" s="44"/>
      <c r="H44" s="44"/>
      <c r="I44" s="46"/>
      <c r="J44" s="60" t="s">
        <v>171</v>
      </c>
      <c r="K44" s="61"/>
      <c r="L44" s="46"/>
      <c r="M44" s="5"/>
      <c r="N44" s="14"/>
      <c r="O44" s="14"/>
      <c r="P44" s="14"/>
      <c r="Q44" s="14"/>
      <c r="R44" s="14"/>
      <c r="S44" s="14"/>
    </row>
    <row r="45" ht="14.25" customHeight="1">
      <c r="A45" s="39"/>
      <c r="B45" s="39"/>
      <c r="C45" s="39"/>
      <c r="D45" s="39"/>
      <c r="E45" s="39"/>
      <c r="F45" s="53" t="s">
        <v>178</v>
      </c>
      <c r="G45" s="44"/>
      <c r="H45" s="44"/>
      <c r="I45" s="46"/>
      <c r="J45" s="60" t="s">
        <v>171</v>
      </c>
      <c r="K45" s="61"/>
      <c r="L45" s="46"/>
      <c r="M45" s="5"/>
      <c r="N45" s="14"/>
      <c r="O45" s="14"/>
      <c r="P45" s="14"/>
      <c r="Q45" s="14"/>
      <c r="R45" s="14"/>
      <c r="S45" s="14"/>
    </row>
    <row r="46" ht="48.0" customHeight="1">
      <c r="A46" s="39"/>
      <c r="B46" s="39"/>
      <c r="C46" s="39"/>
      <c r="D46" s="39"/>
      <c r="E46" s="39"/>
      <c r="F46" s="62" t="s">
        <v>190</v>
      </c>
      <c r="G46" s="44"/>
      <c r="H46" s="44"/>
      <c r="I46" s="44"/>
      <c r="J46" s="44"/>
      <c r="K46" s="44"/>
      <c r="L46" s="44"/>
      <c r="M46" s="46"/>
      <c r="N46" s="14"/>
      <c r="O46" s="14"/>
      <c r="P46" s="14"/>
      <c r="Q46" s="14"/>
      <c r="R46" s="14"/>
      <c r="S46" s="14"/>
    </row>
    <row r="47" ht="14.2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14"/>
      <c r="O47" s="14"/>
      <c r="P47" s="14"/>
      <c r="Q47" s="14"/>
      <c r="R47" s="14"/>
      <c r="S47" s="14"/>
    </row>
    <row r="48" ht="14.25" customHeight="1">
      <c r="A48" s="39"/>
      <c r="B48" s="39"/>
      <c r="C48" s="39"/>
      <c r="D48" s="39" t="s">
        <v>206</v>
      </c>
      <c r="E48" s="39"/>
      <c r="F48" s="61" t="s">
        <v>209</v>
      </c>
      <c r="G48" s="46"/>
      <c r="H48" s="61" t="s">
        <v>211</v>
      </c>
      <c r="I48" s="46"/>
      <c r="J48" s="60" t="s">
        <v>214</v>
      </c>
      <c r="K48" s="53" t="s">
        <v>216</v>
      </c>
      <c r="L48" s="46"/>
      <c r="M48" s="60" t="s">
        <v>217</v>
      </c>
      <c r="N48" s="14"/>
      <c r="O48" s="14"/>
      <c r="P48" s="14"/>
      <c r="Q48" s="14"/>
      <c r="R48" s="14"/>
      <c r="S48" s="14"/>
    </row>
    <row r="49" ht="14.25" customHeight="1">
      <c r="A49" s="39"/>
      <c r="B49" s="39"/>
      <c r="C49" s="39"/>
      <c r="D49" s="39"/>
      <c r="E49" s="39"/>
      <c r="F49" s="61" t="s">
        <v>209</v>
      </c>
      <c r="G49" s="46"/>
      <c r="H49" s="61" t="s">
        <v>211</v>
      </c>
      <c r="I49" s="46"/>
      <c r="J49" s="60" t="s">
        <v>214</v>
      </c>
      <c r="K49" s="53" t="s">
        <v>216</v>
      </c>
      <c r="L49" s="46"/>
      <c r="M49" s="60" t="s">
        <v>217</v>
      </c>
      <c r="N49" s="14"/>
      <c r="O49" s="14"/>
      <c r="P49" s="14"/>
      <c r="Q49" s="14"/>
      <c r="R49" s="14"/>
      <c r="S49" s="14"/>
    </row>
    <row r="50" ht="14.25" customHeight="1">
      <c r="A50" s="39"/>
      <c r="B50" s="39"/>
      <c r="C50" s="39"/>
      <c r="D50" s="39"/>
      <c r="E50" s="39"/>
      <c r="F50" s="61" t="s">
        <v>209</v>
      </c>
      <c r="G50" s="46"/>
      <c r="H50" s="61" t="s">
        <v>211</v>
      </c>
      <c r="I50" s="46"/>
      <c r="J50" s="60" t="s">
        <v>214</v>
      </c>
      <c r="K50" s="53" t="s">
        <v>216</v>
      </c>
      <c r="L50" s="46"/>
      <c r="M50" s="60" t="s">
        <v>217</v>
      </c>
      <c r="N50" s="14"/>
      <c r="O50" s="14"/>
      <c r="P50" s="14"/>
      <c r="Q50" s="14"/>
      <c r="R50" s="14"/>
      <c r="S50" s="14"/>
    </row>
    <row r="51" ht="14.25" customHeight="1">
      <c r="A51" s="39"/>
      <c r="B51" s="39"/>
      <c r="C51" s="39"/>
      <c r="D51" s="39"/>
      <c r="E51" s="39"/>
      <c r="F51" s="61" t="s">
        <v>209</v>
      </c>
      <c r="G51" s="46"/>
      <c r="H51" s="61" t="s">
        <v>211</v>
      </c>
      <c r="I51" s="46"/>
      <c r="J51" s="60" t="s">
        <v>214</v>
      </c>
      <c r="K51" s="53" t="s">
        <v>216</v>
      </c>
      <c r="L51" s="46"/>
      <c r="M51" s="60" t="s">
        <v>217</v>
      </c>
      <c r="N51" s="14"/>
      <c r="O51" s="14"/>
      <c r="P51" s="14"/>
      <c r="Q51" s="14"/>
      <c r="R51" s="14"/>
      <c r="S51" s="14"/>
    </row>
    <row r="52" ht="48.0" customHeight="1">
      <c r="A52" s="39"/>
      <c r="B52" s="39"/>
      <c r="C52" s="39"/>
      <c r="D52" s="39"/>
      <c r="E52" s="39"/>
      <c r="F52" s="62" t="s">
        <v>190</v>
      </c>
      <c r="G52" s="44"/>
      <c r="H52" s="44"/>
      <c r="I52" s="44"/>
      <c r="J52" s="44"/>
      <c r="K52" s="44"/>
      <c r="L52" s="44"/>
      <c r="M52" s="46"/>
      <c r="N52" s="14"/>
      <c r="O52" s="14"/>
      <c r="P52" s="14"/>
      <c r="Q52" s="14"/>
      <c r="R52" s="14"/>
      <c r="S52" s="14"/>
    </row>
    <row r="53" ht="14.2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14"/>
      <c r="O53" s="14"/>
      <c r="P53" s="14"/>
      <c r="Q53" s="14"/>
      <c r="R53" s="14"/>
      <c r="S53" s="14"/>
    </row>
    <row r="54" ht="14.25" customHeight="1">
      <c r="A54" s="39"/>
      <c r="B54" s="39"/>
      <c r="C54" s="39"/>
      <c r="D54" s="39" t="s">
        <v>180</v>
      </c>
      <c r="E54" s="39"/>
      <c r="F54" s="61" t="s">
        <v>209</v>
      </c>
      <c r="G54" s="46"/>
      <c r="H54" s="50" t="s">
        <v>211</v>
      </c>
      <c r="I54" s="50"/>
      <c r="J54" s="60" t="s">
        <v>243</v>
      </c>
      <c r="K54" s="53" t="s">
        <v>216</v>
      </c>
      <c r="L54" s="46"/>
      <c r="M54" s="60" t="s">
        <v>217</v>
      </c>
      <c r="N54" s="14"/>
      <c r="O54" s="14"/>
      <c r="P54" s="14"/>
      <c r="Q54" s="14"/>
      <c r="R54" s="14"/>
      <c r="S54" s="14"/>
    </row>
    <row r="55" ht="14.25" customHeight="1">
      <c r="A55" s="39"/>
      <c r="B55" s="39"/>
      <c r="C55" s="39"/>
      <c r="D55" s="39"/>
      <c r="E55" s="39"/>
      <c r="F55" s="61" t="s">
        <v>209</v>
      </c>
      <c r="G55" s="46"/>
      <c r="H55" s="50" t="s">
        <v>211</v>
      </c>
      <c r="I55" s="50"/>
      <c r="J55" s="60" t="s">
        <v>245</v>
      </c>
      <c r="K55" s="53" t="s">
        <v>216</v>
      </c>
      <c r="L55" s="46"/>
      <c r="M55" s="60" t="s">
        <v>217</v>
      </c>
      <c r="N55" s="14"/>
      <c r="O55" s="14"/>
      <c r="P55" s="14"/>
      <c r="Q55" s="14"/>
      <c r="R55" s="14"/>
      <c r="S55" s="14"/>
    </row>
    <row r="56" ht="14.25" customHeight="1">
      <c r="A56" s="39"/>
      <c r="B56" s="39"/>
      <c r="C56" s="39"/>
      <c r="D56" s="39"/>
      <c r="E56" s="39"/>
      <c r="F56" s="61" t="s">
        <v>209</v>
      </c>
      <c r="G56" s="46"/>
      <c r="H56" s="50" t="s">
        <v>211</v>
      </c>
      <c r="I56" s="50"/>
      <c r="J56" s="60" t="s">
        <v>245</v>
      </c>
      <c r="K56" s="53" t="s">
        <v>216</v>
      </c>
      <c r="L56" s="46"/>
      <c r="M56" s="60" t="s">
        <v>217</v>
      </c>
      <c r="N56" s="14"/>
      <c r="O56" s="14"/>
      <c r="P56" s="14"/>
      <c r="Q56" s="14"/>
      <c r="R56" s="14"/>
      <c r="S56" s="14"/>
    </row>
    <row r="57" ht="14.25" customHeight="1">
      <c r="A57" s="39"/>
      <c r="B57" s="39"/>
      <c r="C57" s="39"/>
      <c r="D57" s="39"/>
      <c r="E57" s="39"/>
      <c r="F57" s="61" t="s">
        <v>209</v>
      </c>
      <c r="G57" s="46"/>
      <c r="H57" s="50" t="s">
        <v>211</v>
      </c>
      <c r="I57" s="50"/>
      <c r="J57" s="60" t="s">
        <v>245</v>
      </c>
      <c r="K57" s="53" t="s">
        <v>216</v>
      </c>
      <c r="L57" s="46"/>
      <c r="M57" s="60" t="s">
        <v>217</v>
      </c>
      <c r="N57" s="14"/>
      <c r="O57" s="14"/>
      <c r="P57" s="14"/>
      <c r="Q57" s="14"/>
      <c r="R57" s="14"/>
      <c r="S57" s="14"/>
    </row>
    <row r="58" ht="49.5" customHeight="1">
      <c r="A58" s="39"/>
      <c r="B58" s="39"/>
      <c r="C58" s="39"/>
      <c r="D58" s="39"/>
      <c r="E58" s="39"/>
      <c r="F58" s="62" t="s">
        <v>190</v>
      </c>
      <c r="G58" s="44"/>
      <c r="H58" s="44"/>
      <c r="I58" s="44"/>
      <c r="J58" s="44"/>
      <c r="K58" s="44"/>
      <c r="L58" s="44"/>
      <c r="M58" s="46"/>
      <c r="N58" s="14"/>
      <c r="O58" s="14"/>
      <c r="P58" s="14"/>
      <c r="Q58" s="14"/>
      <c r="R58" s="14"/>
      <c r="S58" s="14"/>
    </row>
    <row r="59" ht="15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14"/>
      <c r="O59" s="14"/>
      <c r="P59" s="14"/>
      <c r="Q59" s="14"/>
      <c r="R59" s="14"/>
      <c r="S59" s="14"/>
    </row>
    <row r="60" ht="14.25" customHeight="1">
      <c r="A60" s="39"/>
      <c r="B60" s="39"/>
      <c r="C60" s="39"/>
      <c r="D60" s="81" t="s">
        <v>182</v>
      </c>
      <c r="E60" s="39"/>
      <c r="F60" s="61"/>
      <c r="G60" s="46"/>
      <c r="H60" s="61" t="s">
        <v>250</v>
      </c>
      <c r="I60" s="46"/>
      <c r="J60" s="60"/>
      <c r="K60" s="60" t="s">
        <v>251</v>
      </c>
      <c r="L60" s="39"/>
      <c r="M60" s="39"/>
      <c r="N60" s="14"/>
      <c r="O60" s="14"/>
      <c r="P60" s="14"/>
      <c r="Q60" s="14"/>
      <c r="R60" s="14"/>
      <c r="S60" s="14"/>
    </row>
    <row r="61" ht="14.2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14"/>
      <c r="O61" s="14"/>
      <c r="P61" s="14"/>
      <c r="Q61" s="14"/>
      <c r="R61" s="14"/>
      <c r="S61" s="14"/>
    </row>
    <row r="62" ht="14.25" customHeight="1">
      <c r="A62" s="39"/>
      <c r="B62" s="39"/>
      <c r="C62" s="39"/>
      <c r="D62" s="81" t="s">
        <v>252</v>
      </c>
      <c r="E62" s="39"/>
      <c r="F62" s="50"/>
      <c r="G62" s="32"/>
      <c r="H62" s="32"/>
      <c r="I62" s="32" t="s">
        <v>253</v>
      </c>
      <c r="J62" s="32"/>
      <c r="K62" s="55" t="s">
        <v>235</v>
      </c>
      <c r="L62" s="44"/>
      <c r="M62" s="46"/>
      <c r="N62" s="14"/>
      <c r="O62" s="14"/>
      <c r="P62" s="14"/>
      <c r="Q62" s="14"/>
      <c r="R62" s="14"/>
      <c r="S62" s="14"/>
    </row>
    <row r="63" ht="14.2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14"/>
      <c r="O63" s="14"/>
      <c r="P63" s="14"/>
      <c r="Q63" s="14"/>
      <c r="R63" s="14"/>
      <c r="S63" s="14"/>
    </row>
    <row r="64" ht="14.25" customHeight="1">
      <c r="A64" s="39"/>
      <c r="B64" s="39"/>
      <c r="C64" s="39"/>
      <c r="D64" s="81" t="s">
        <v>254</v>
      </c>
      <c r="E64" s="39"/>
      <c r="F64" s="61" t="s">
        <v>255</v>
      </c>
      <c r="G64" s="46"/>
      <c r="H64" s="61" t="s">
        <v>256</v>
      </c>
      <c r="I64" s="46"/>
      <c r="J64" s="82" t="s">
        <v>257</v>
      </c>
      <c r="K64" s="61" t="s">
        <v>258</v>
      </c>
      <c r="L64" s="46"/>
      <c r="M64" s="82" t="s">
        <v>259</v>
      </c>
      <c r="N64" s="14"/>
      <c r="O64" s="14"/>
      <c r="P64" s="14"/>
      <c r="Q64" s="14"/>
      <c r="R64" s="14"/>
      <c r="S64" s="14"/>
    </row>
    <row r="65" ht="14.25" customHeight="1">
      <c r="A65" s="39"/>
      <c r="B65" s="39"/>
      <c r="C65" s="39"/>
      <c r="D65" s="39"/>
      <c r="E65" s="39" t="s">
        <v>260</v>
      </c>
      <c r="F65" s="61"/>
      <c r="G65" s="46"/>
      <c r="H65" s="61"/>
      <c r="I65" s="46"/>
      <c r="J65" s="60"/>
      <c r="K65" s="61"/>
      <c r="L65" s="46"/>
      <c r="M65" s="60"/>
      <c r="N65" s="14"/>
      <c r="O65" s="14"/>
      <c r="P65" s="14"/>
      <c r="Q65" s="14"/>
      <c r="R65" s="14"/>
      <c r="S65" s="14"/>
    </row>
    <row r="66" ht="14.25" customHeight="1">
      <c r="A66" s="39"/>
      <c r="B66" s="39"/>
      <c r="C66" s="39"/>
      <c r="D66" s="39"/>
      <c r="E66" s="39"/>
      <c r="F66" s="61" t="s">
        <v>261</v>
      </c>
      <c r="G66" s="46"/>
      <c r="H66" s="82"/>
      <c r="I66" s="82" t="s">
        <v>262</v>
      </c>
      <c r="J66" s="82" t="s">
        <v>241</v>
      </c>
      <c r="K66" s="61" t="s">
        <v>263</v>
      </c>
      <c r="L66" s="46"/>
      <c r="M66" s="82"/>
      <c r="N66" s="14"/>
      <c r="O66" s="14"/>
      <c r="P66" s="14"/>
      <c r="Q66" s="14"/>
      <c r="R66" s="14"/>
      <c r="S66" s="14"/>
    </row>
    <row r="67" ht="14.25" customHeight="1">
      <c r="A67" s="39"/>
      <c r="B67" s="39"/>
      <c r="C67" s="39"/>
      <c r="D67" s="39"/>
      <c r="E67" s="39" t="s">
        <v>264</v>
      </c>
      <c r="F67" s="61"/>
      <c r="G67" s="46"/>
      <c r="H67" s="61"/>
      <c r="I67" s="46"/>
      <c r="J67" s="60"/>
      <c r="K67" s="61"/>
      <c r="L67" s="46"/>
      <c r="M67" s="60"/>
      <c r="N67" s="14"/>
      <c r="O67" s="14"/>
      <c r="P67" s="14"/>
      <c r="Q67" s="14"/>
      <c r="R67" s="14"/>
      <c r="S67" s="14"/>
    </row>
    <row r="68" ht="14.25" customHeight="1">
      <c r="A68" s="39"/>
      <c r="B68" s="39"/>
      <c r="C68" s="39"/>
      <c r="D68" s="39"/>
      <c r="E68" s="39"/>
      <c r="F68" s="61" t="s">
        <v>265</v>
      </c>
      <c r="G68" s="46"/>
      <c r="H68" s="61" t="s">
        <v>239</v>
      </c>
      <c r="I68" s="46"/>
      <c r="J68" s="82" t="s">
        <v>241</v>
      </c>
      <c r="K68" s="61" t="s">
        <v>266</v>
      </c>
      <c r="L68" s="46"/>
      <c r="M68" s="82"/>
      <c r="N68" s="14"/>
      <c r="O68" s="14"/>
      <c r="P68" s="14"/>
      <c r="Q68" s="14"/>
      <c r="R68" s="14"/>
      <c r="S68" s="14"/>
    </row>
    <row r="69" ht="14.2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14"/>
      <c r="O69" s="14"/>
      <c r="P69" s="14"/>
      <c r="Q69" s="14"/>
      <c r="R69" s="14"/>
      <c r="S69" s="14"/>
    </row>
    <row r="70" ht="14.25" customHeight="1">
      <c r="A70" s="39"/>
      <c r="B70" s="39"/>
      <c r="C70" s="39"/>
      <c r="D70" s="83" t="s">
        <v>254</v>
      </c>
      <c r="E70" s="84"/>
      <c r="F70" s="83" t="s">
        <v>267</v>
      </c>
      <c r="G70" s="84"/>
      <c r="H70" s="85" t="s">
        <v>268</v>
      </c>
      <c r="I70" s="46"/>
      <c r="J70" s="85" t="s">
        <v>269</v>
      </c>
      <c r="K70" s="44"/>
      <c r="L70" s="46"/>
      <c r="M70" s="86" t="s">
        <v>270</v>
      </c>
      <c r="N70" s="14"/>
      <c r="O70" s="14"/>
      <c r="P70" s="14"/>
      <c r="Q70" s="14"/>
      <c r="R70" s="14"/>
      <c r="S70" s="14"/>
    </row>
    <row r="71" ht="24.0" customHeight="1">
      <c r="A71" s="39"/>
      <c r="B71" s="39"/>
      <c r="C71" s="39"/>
      <c r="D71" s="87"/>
      <c r="E71" s="88"/>
      <c r="F71" s="87"/>
      <c r="G71" s="88"/>
      <c r="H71" s="89" t="s">
        <v>271</v>
      </c>
      <c r="I71" s="89" t="s">
        <v>272</v>
      </c>
      <c r="J71" s="90" t="s">
        <v>273</v>
      </c>
      <c r="K71" s="91" t="s">
        <v>274</v>
      </c>
      <c r="L71" s="92" t="s">
        <v>275</v>
      </c>
      <c r="M71" s="93"/>
      <c r="N71" s="14"/>
      <c r="O71" s="14"/>
      <c r="P71" s="14"/>
      <c r="Q71" s="14"/>
      <c r="R71" s="14"/>
      <c r="S71" s="14"/>
    </row>
    <row r="72" ht="14.25" customHeight="1">
      <c r="A72" s="39"/>
      <c r="B72" s="39"/>
      <c r="C72" s="39"/>
      <c r="D72" s="53" t="s">
        <v>236</v>
      </c>
      <c r="E72" s="46"/>
      <c r="F72" s="94">
        <v>4.0</v>
      </c>
      <c r="G72" s="95" t="s">
        <v>276</v>
      </c>
      <c r="H72" s="96">
        <v>24.0</v>
      </c>
      <c r="I72" s="97">
        <v>7.0</v>
      </c>
      <c r="J72" s="82" t="s">
        <v>200</v>
      </c>
      <c r="K72" s="98">
        <v>100000.0</v>
      </c>
      <c r="L72" s="60" t="s">
        <v>239</v>
      </c>
      <c r="M72" s="60"/>
      <c r="N72" s="14" t="s">
        <v>277</v>
      </c>
      <c r="O72" s="14"/>
      <c r="P72" s="14"/>
      <c r="Q72" s="14"/>
      <c r="R72" s="14"/>
      <c r="S72" s="14"/>
    </row>
    <row r="73" ht="14.25" customHeight="1">
      <c r="A73" s="39"/>
      <c r="B73" s="39"/>
      <c r="C73" s="39"/>
      <c r="D73" s="53" t="s">
        <v>278</v>
      </c>
      <c r="E73" s="46"/>
      <c r="F73" s="94">
        <v>1000000.0</v>
      </c>
      <c r="G73" s="95" t="s">
        <v>241</v>
      </c>
      <c r="H73" s="96">
        <v>8.0</v>
      </c>
      <c r="I73" s="82">
        <v>7.0</v>
      </c>
      <c r="J73" s="82" t="s">
        <v>198</v>
      </c>
      <c r="K73" s="98">
        <v>30000.0</v>
      </c>
      <c r="L73" s="60" t="s">
        <v>242</v>
      </c>
      <c r="M73" s="60"/>
      <c r="N73" s="14"/>
      <c r="O73" s="14"/>
      <c r="P73" s="14"/>
      <c r="Q73" s="14"/>
      <c r="R73" s="14"/>
      <c r="S73" s="14"/>
    </row>
    <row r="74" ht="14.25" customHeight="1">
      <c r="A74" s="39"/>
      <c r="B74" s="39"/>
      <c r="C74" s="39"/>
      <c r="D74" s="53" t="s">
        <v>279</v>
      </c>
      <c r="E74" s="46"/>
      <c r="F74" s="98">
        <v>750000.0</v>
      </c>
      <c r="G74" s="95" t="s">
        <v>241</v>
      </c>
      <c r="H74" s="82">
        <v>8.0</v>
      </c>
      <c r="I74" s="82">
        <v>7.0</v>
      </c>
      <c r="J74" s="82" t="s">
        <v>198</v>
      </c>
      <c r="K74" s="98">
        <v>20000.0</v>
      </c>
      <c r="L74" s="60" t="s">
        <v>242</v>
      </c>
      <c r="M74" s="60"/>
      <c r="N74" s="14"/>
      <c r="O74" s="14"/>
      <c r="P74" s="14"/>
      <c r="Q74" s="14"/>
      <c r="R74" s="14"/>
      <c r="S74" s="14"/>
    </row>
    <row r="75" ht="14.25" customHeight="1">
      <c r="A75" s="39"/>
      <c r="B75" s="39"/>
      <c r="C75" s="39"/>
      <c r="D75" s="61"/>
      <c r="E75" s="46"/>
      <c r="F75" s="60"/>
      <c r="G75" s="60"/>
      <c r="H75" s="60"/>
      <c r="I75" s="60"/>
      <c r="J75" s="60"/>
      <c r="K75" s="60"/>
      <c r="L75" s="60"/>
      <c r="M75" s="60"/>
      <c r="N75" s="14"/>
      <c r="O75" s="14"/>
      <c r="P75" s="14"/>
      <c r="Q75" s="14"/>
      <c r="R75" s="14"/>
      <c r="S75" s="14"/>
    </row>
    <row r="76" ht="14.25" customHeight="1">
      <c r="A76" s="39"/>
      <c r="B76" s="39"/>
      <c r="C76" s="39"/>
      <c r="D76" s="61"/>
      <c r="E76" s="46"/>
      <c r="F76" s="60"/>
      <c r="G76" s="60"/>
      <c r="H76" s="60"/>
      <c r="I76" s="60"/>
      <c r="J76" s="60"/>
      <c r="K76" s="60"/>
      <c r="L76" s="60"/>
      <c r="M76" s="60"/>
      <c r="N76" s="14"/>
      <c r="O76" s="14"/>
      <c r="P76" s="14"/>
      <c r="Q76" s="14"/>
      <c r="R76" s="14"/>
      <c r="S76" s="14"/>
    </row>
    <row r="77" ht="14.25" customHeight="1">
      <c r="A77" s="39"/>
      <c r="B77" s="39"/>
      <c r="C77" s="39"/>
      <c r="D77" s="61"/>
      <c r="E77" s="46"/>
      <c r="F77" s="60"/>
      <c r="G77" s="60"/>
      <c r="H77" s="60"/>
      <c r="I77" s="60"/>
      <c r="J77" s="60"/>
      <c r="K77" s="60"/>
      <c r="L77" s="60"/>
      <c r="M77" s="60"/>
      <c r="N77" s="14"/>
      <c r="O77" s="14"/>
      <c r="P77" s="14"/>
      <c r="Q77" s="14"/>
      <c r="R77" s="14"/>
      <c r="S77" s="14"/>
    </row>
    <row r="78" ht="14.25" customHeight="1">
      <c r="A78" s="39"/>
      <c r="B78" s="39"/>
      <c r="C78" s="39"/>
      <c r="D78" s="99" t="s">
        <v>280</v>
      </c>
      <c r="E78" s="44"/>
      <c r="F78" s="44"/>
      <c r="G78" s="44"/>
      <c r="H78" s="44"/>
      <c r="I78" s="44"/>
      <c r="J78" s="44"/>
      <c r="K78" s="44"/>
      <c r="L78" s="46"/>
      <c r="M78" s="60"/>
      <c r="N78" s="14"/>
      <c r="O78" s="14"/>
      <c r="P78" s="14"/>
      <c r="Q78" s="14"/>
      <c r="R78" s="14"/>
      <c r="S78" s="14"/>
    </row>
    <row r="79" ht="14.25" customHeight="1">
      <c r="A79" s="39"/>
      <c r="B79" s="39"/>
      <c r="C79" s="39"/>
      <c r="D79" s="100"/>
      <c r="E79" s="100"/>
      <c r="F79" s="100"/>
      <c r="G79" s="100"/>
      <c r="H79" s="100"/>
      <c r="I79" s="100"/>
      <c r="J79" s="100"/>
      <c r="K79" s="100"/>
      <c r="L79" s="100"/>
      <c r="M79" s="39"/>
      <c r="N79" s="14"/>
      <c r="O79" s="14"/>
      <c r="P79" s="14"/>
      <c r="Q79" s="14"/>
      <c r="R79" s="14"/>
      <c r="S79" s="14"/>
    </row>
    <row r="80" ht="14.25" customHeight="1">
      <c r="A80" s="39"/>
      <c r="B80" s="39"/>
      <c r="C80" s="39"/>
      <c r="D80" s="39" t="s">
        <v>281</v>
      </c>
      <c r="E80" s="39"/>
      <c r="F80" s="61" t="s">
        <v>282</v>
      </c>
      <c r="G80" s="46"/>
      <c r="H80" s="61" t="s">
        <v>283</v>
      </c>
      <c r="I80" s="46"/>
      <c r="J80" s="82" t="s">
        <v>284</v>
      </c>
      <c r="K80" s="39"/>
      <c r="L80" s="39"/>
      <c r="M80" s="39"/>
      <c r="N80" s="14"/>
      <c r="O80" s="14"/>
      <c r="P80" s="14"/>
      <c r="Q80" s="14"/>
      <c r="R80" s="14"/>
      <c r="S80" s="14"/>
    </row>
    <row r="81" ht="14.25" customHeight="1">
      <c r="A81" s="39"/>
      <c r="B81" s="39"/>
      <c r="C81" s="39"/>
      <c r="D81" s="39"/>
      <c r="E81" s="39"/>
      <c r="F81" s="101" t="s">
        <v>170</v>
      </c>
      <c r="G81" s="46"/>
      <c r="H81" s="61"/>
      <c r="I81" s="46"/>
      <c r="J81" s="60"/>
      <c r="K81" s="39"/>
      <c r="L81" s="39"/>
      <c r="M81" s="39"/>
      <c r="N81" s="14"/>
      <c r="O81" s="14"/>
      <c r="P81" s="14"/>
      <c r="Q81" s="14"/>
      <c r="R81" s="14"/>
      <c r="S81" s="14"/>
    </row>
    <row r="82" ht="14.2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14"/>
      <c r="O82" s="14"/>
      <c r="P82" s="14"/>
      <c r="Q82" s="14"/>
      <c r="R82" s="14"/>
      <c r="S82" s="14"/>
    </row>
    <row r="83" ht="14.25" customHeight="1">
      <c r="A83" s="39"/>
      <c r="B83" s="39"/>
      <c r="C83" s="39"/>
      <c r="D83" s="102" t="s">
        <v>285</v>
      </c>
      <c r="E83" s="27"/>
      <c r="F83" s="61" t="s">
        <v>286</v>
      </c>
      <c r="G83" s="46"/>
      <c r="H83" s="61"/>
      <c r="I83" s="46"/>
      <c r="J83" s="39"/>
      <c r="K83" s="39"/>
      <c r="L83" s="39"/>
      <c r="M83" s="39"/>
      <c r="N83" s="14"/>
      <c r="O83" s="14"/>
      <c r="P83" s="14"/>
      <c r="Q83" s="14"/>
      <c r="R83" s="14"/>
      <c r="S83" s="14"/>
    </row>
    <row r="84" ht="14.25" customHeight="1">
      <c r="A84" s="39"/>
      <c r="B84" s="39"/>
      <c r="C84" s="39"/>
      <c r="D84" s="59"/>
      <c r="E84" s="59"/>
      <c r="F84" s="39"/>
      <c r="G84" s="39"/>
      <c r="H84" s="39"/>
      <c r="I84" s="39"/>
      <c r="J84" s="39"/>
      <c r="K84" s="39"/>
      <c r="L84" s="39"/>
      <c r="M84" s="39"/>
      <c r="N84" s="14"/>
      <c r="O84" s="14"/>
      <c r="P84" s="14"/>
      <c r="Q84" s="14"/>
      <c r="R84" s="14"/>
      <c r="S84" s="14"/>
    </row>
    <row r="85" ht="14.25" customHeight="1">
      <c r="A85" s="39"/>
      <c r="B85" s="39"/>
      <c r="C85" s="39"/>
      <c r="D85" s="102" t="s">
        <v>287</v>
      </c>
      <c r="E85" s="27"/>
      <c r="F85" s="50"/>
      <c r="G85" s="32"/>
      <c r="H85" s="32"/>
      <c r="I85" s="32"/>
      <c r="J85" s="55" t="s">
        <v>288</v>
      </c>
      <c r="K85" s="44"/>
      <c r="L85" s="44"/>
      <c r="M85" s="46"/>
      <c r="N85" s="14"/>
      <c r="O85" s="14"/>
      <c r="P85" s="14"/>
      <c r="Q85" s="14"/>
      <c r="R85" s="14"/>
      <c r="S85" s="14"/>
    </row>
    <row r="86" ht="14.2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14"/>
      <c r="O86" s="14"/>
      <c r="P86" s="14"/>
      <c r="Q86" s="14"/>
      <c r="R86" s="14"/>
      <c r="S86" s="14"/>
    </row>
    <row r="87" ht="14.25" customHeight="1">
      <c r="A87" s="39"/>
      <c r="B87" s="39"/>
      <c r="C87" s="39"/>
      <c r="D87" s="102" t="s">
        <v>289</v>
      </c>
      <c r="E87" s="27"/>
      <c r="F87" s="5" t="s">
        <v>290</v>
      </c>
      <c r="G87" s="5"/>
      <c r="H87" s="64" t="s">
        <v>291</v>
      </c>
      <c r="I87" s="5"/>
      <c r="J87" s="103"/>
      <c r="K87" s="104" t="s">
        <v>292</v>
      </c>
      <c r="L87" s="103"/>
      <c r="N87" s="14"/>
      <c r="O87" s="14"/>
      <c r="P87" s="14"/>
      <c r="Q87" s="14"/>
      <c r="R87" s="14"/>
      <c r="S87" s="14"/>
    </row>
    <row r="88" ht="14.25" customHeight="1">
      <c r="A88" s="39"/>
      <c r="B88" s="39"/>
      <c r="C88" s="39"/>
      <c r="D88" s="39"/>
      <c r="E88" s="39"/>
      <c r="F88" s="61" t="s">
        <v>293</v>
      </c>
      <c r="G88" s="44"/>
      <c r="H88" s="46"/>
      <c r="I88" s="61" t="s">
        <v>294</v>
      </c>
      <c r="J88" s="46"/>
      <c r="K88" s="61" t="s">
        <v>295</v>
      </c>
      <c r="L88" s="44"/>
      <c r="M88" s="46"/>
      <c r="N88" s="14"/>
      <c r="O88" s="14"/>
      <c r="P88" s="14"/>
      <c r="Q88" s="14"/>
      <c r="R88" s="14"/>
      <c r="S88" s="14"/>
    </row>
    <row r="89" ht="14.25" customHeight="1">
      <c r="A89" s="39"/>
      <c r="B89" s="39"/>
      <c r="C89" s="39"/>
      <c r="D89" s="39"/>
      <c r="E89" s="39"/>
      <c r="F89" s="61"/>
      <c r="G89" s="44"/>
      <c r="H89" s="46"/>
      <c r="I89" s="61"/>
      <c r="J89" s="46"/>
      <c r="K89" s="61"/>
      <c r="L89" s="44"/>
      <c r="M89" s="46"/>
      <c r="N89" s="14"/>
      <c r="O89" s="14"/>
      <c r="P89" s="14"/>
      <c r="Q89" s="14"/>
      <c r="R89" s="14"/>
      <c r="S89" s="14"/>
    </row>
    <row r="90" ht="14.25" customHeight="1">
      <c r="A90" s="39"/>
      <c r="B90" s="39"/>
      <c r="C90" s="39"/>
      <c r="D90" s="105"/>
      <c r="E90" s="27"/>
      <c r="F90" s="39"/>
      <c r="G90" s="39"/>
      <c r="H90" s="39"/>
      <c r="I90" s="39"/>
      <c r="J90" s="39"/>
      <c r="K90" s="39"/>
      <c r="L90" s="39"/>
      <c r="M90" s="39"/>
      <c r="N90" s="14"/>
      <c r="O90" s="14"/>
      <c r="P90" s="14"/>
      <c r="Q90" s="14"/>
      <c r="R90" s="14"/>
      <c r="S90" s="14"/>
    </row>
    <row r="91" ht="14.25" customHeight="1">
      <c r="A91" s="39"/>
      <c r="B91" s="39"/>
      <c r="C91" s="39"/>
      <c r="D91" s="102" t="s">
        <v>296</v>
      </c>
      <c r="E91" s="27"/>
      <c r="F91" s="61"/>
      <c r="G91" s="44"/>
      <c r="H91" s="46"/>
      <c r="I91" s="39"/>
      <c r="J91" s="39"/>
      <c r="K91" s="39"/>
      <c r="L91" s="39"/>
      <c r="M91" s="39"/>
      <c r="N91" s="14"/>
      <c r="O91" s="14"/>
      <c r="P91" s="14"/>
      <c r="Q91" s="14"/>
      <c r="R91" s="14"/>
      <c r="S91" s="14"/>
    </row>
    <row r="92" ht="14.25" customHeight="1"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4"/>
      <c r="O92" s="106" t="s">
        <v>297</v>
      </c>
      <c r="P92" s="106" t="s">
        <v>298</v>
      </c>
      <c r="Q92" s="106" t="s">
        <v>299</v>
      </c>
      <c r="R92" s="106" t="s">
        <v>298</v>
      </c>
      <c r="S92" s="106" t="s">
        <v>300</v>
      </c>
      <c r="T92" s="106" t="s">
        <v>298</v>
      </c>
    </row>
    <row r="93" ht="14.25" customHeight="1">
      <c r="C93" s="39"/>
      <c r="D93" s="102" t="s">
        <v>301</v>
      </c>
      <c r="E93" s="54"/>
      <c r="F93" s="53" t="s">
        <v>302</v>
      </c>
      <c r="G93" s="46"/>
      <c r="H93" s="53" t="s">
        <v>303</v>
      </c>
      <c r="I93" s="46"/>
      <c r="J93" s="107" t="s">
        <v>304</v>
      </c>
      <c r="K93" s="39" t="s">
        <v>305</v>
      </c>
      <c r="L93" s="58"/>
      <c r="M93" s="46"/>
      <c r="N93" s="14"/>
      <c r="O93" s="108" t="s">
        <v>306</v>
      </c>
      <c r="P93" s="109">
        <v>10000.0</v>
      </c>
      <c r="Q93" s="108" t="s">
        <v>306</v>
      </c>
      <c r="R93" s="108"/>
      <c r="S93" s="108" t="s">
        <v>306</v>
      </c>
      <c r="T93" s="108"/>
    </row>
    <row r="94" ht="14.25" customHeight="1">
      <c r="C94" s="39"/>
      <c r="D94" s="78" t="s">
        <v>307</v>
      </c>
      <c r="F94" s="53" t="s">
        <v>308</v>
      </c>
      <c r="G94" s="46"/>
      <c r="H94" s="53" t="s">
        <v>309</v>
      </c>
      <c r="I94" s="46"/>
      <c r="J94" s="107" t="s">
        <v>310</v>
      </c>
      <c r="K94" s="110" t="s">
        <v>311</v>
      </c>
      <c r="L94" s="61"/>
      <c r="M94" s="46"/>
      <c r="N94" s="14"/>
      <c r="O94" s="108" t="s">
        <v>312</v>
      </c>
      <c r="P94" s="108">
        <v>9.66</v>
      </c>
      <c r="Q94" s="108" t="s">
        <v>312</v>
      </c>
      <c r="R94" s="108"/>
      <c r="S94" s="108" t="s">
        <v>312</v>
      </c>
      <c r="T94" s="108"/>
    </row>
    <row r="95" ht="14.25" customHeight="1">
      <c r="C95" s="39"/>
      <c r="D95" s="39" t="s">
        <v>313</v>
      </c>
      <c r="E95" s="39"/>
      <c r="F95" s="53"/>
      <c r="G95" s="46"/>
      <c r="H95" s="53"/>
      <c r="I95" s="46"/>
      <c r="J95" s="107"/>
      <c r="K95" s="39"/>
      <c r="L95" s="39"/>
      <c r="M95" s="39"/>
      <c r="N95" s="14"/>
      <c r="O95" s="108" t="s">
        <v>314</v>
      </c>
      <c r="P95" s="108">
        <v>9.5</v>
      </c>
      <c r="Q95" s="108" t="s">
        <v>314</v>
      </c>
      <c r="R95" s="108"/>
      <c r="S95" s="108" t="s">
        <v>314</v>
      </c>
      <c r="T95" s="108"/>
    </row>
    <row r="96" ht="14.25" customHeight="1">
      <c r="C96" s="39"/>
      <c r="D96" s="39"/>
      <c r="E96" s="39"/>
      <c r="F96" s="53" t="s">
        <v>315</v>
      </c>
      <c r="G96" s="46"/>
      <c r="H96" s="53" t="s">
        <v>316</v>
      </c>
      <c r="I96" s="46"/>
      <c r="J96" s="39"/>
      <c r="K96" s="59"/>
      <c r="L96" s="59"/>
      <c r="M96" s="59"/>
      <c r="N96" s="14"/>
      <c r="O96" s="108" t="s">
        <v>317</v>
      </c>
      <c r="P96" s="108">
        <v>9.26</v>
      </c>
      <c r="Q96" s="108" t="s">
        <v>317</v>
      </c>
      <c r="R96" s="108"/>
      <c r="S96" s="108" t="s">
        <v>317</v>
      </c>
      <c r="T96" s="108"/>
    </row>
    <row r="97" ht="13.5" customHeight="1"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4"/>
      <c r="O97" s="108" t="s">
        <v>5</v>
      </c>
      <c r="P97" s="108">
        <v>9.18</v>
      </c>
      <c r="Q97" s="108" t="s">
        <v>5</v>
      </c>
      <c r="R97" s="108"/>
      <c r="S97" s="108" t="s">
        <v>5</v>
      </c>
      <c r="T97" s="108"/>
    </row>
    <row r="98" ht="14.25" customHeight="1">
      <c r="C98" s="39"/>
      <c r="D98" s="52" t="s">
        <v>318</v>
      </c>
      <c r="E98" s="27"/>
      <c r="F98" s="53"/>
      <c r="G98" s="44"/>
      <c r="H98" s="44"/>
      <c r="I98" s="46"/>
      <c r="J98" s="39"/>
      <c r="K98" s="39"/>
      <c r="L98" s="39"/>
      <c r="M98" s="39"/>
      <c r="N98" s="14"/>
      <c r="O98" s="108" t="s">
        <v>319</v>
      </c>
      <c r="P98" s="108">
        <v>8.78</v>
      </c>
      <c r="Q98" s="108" t="s">
        <v>319</v>
      </c>
      <c r="R98" s="108"/>
      <c r="S98" s="108" t="s">
        <v>319</v>
      </c>
      <c r="T98" s="108"/>
    </row>
    <row r="99" ht="12.75" customHeight="1"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14"/>
      <c r="O99" s="14"/>
      <c r="P99" s="14"/>
      <c r="Q99" s="14"/>
      <c r="R99" s="14"/>
      <c r="S99" s="14"/>
    </row>
    <row r="100" ht="14.25" customHeight="1">
      <c r="C100" s="39"/>
      <c r="D100" s="111" t="s">
        <v>320</v>
      </c>
      <c r="E100" s="111"/>
      <c r="F100" s="53" t="s">
        <v>321</v>
      </c>
      <c r="G100" s="44"/>
      <c r="H100" s="44"/>
      <c r="I100" s="46"/>
      <c r="J100" s="39"/>
      <c r="K100" s="112" t="s">
        <v>322</v>
      </c>
      <c r="L100" s="39"/>
      <c r="M100" s="39"/>
      <c r="N100" s="14"/>
      <c r="O100" s="14"/>
      <c r="P100" s="14"/>
      <c r="Q100" s="14"/>
      <c r="R100" s="14"/>
      <c r="S100" s="14"/>
    </row>
    <row r="101" ht="14.25" customHeight="1"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14"/>
      <c r="O101" s="14"/>
      <c r="P101" s="14"/>
      <c r="Q101" s="14"/>
      <c r="R101" s="14"/>
      <c r="S101" s="14"/>
    </row>
    <row r="102" ht="14.25" customHeight="1">
      <c r="C102" s="39"/>
      <c r="D102" s="113" t="s">
        <v>323</v>
      </c>
      <c r="E102" s="27"/>
      <c r="F102" s="5" t="s">
        <v>290</v>
      </c>
      <c r="G102" s="5"/>
      <c r="H102" s="64" t="s">
        <v>291</v>
      </c>
      <c r="I102" s="5"/>
      <c r="J102" s="103"/>
      <c r="K102" s="104" t="s">
        <v>292</v>
      </c>
      <c r="L102" s="103"/>
      <c r="N102" s="14"/>
      <c r="O102" s="14"/>
      <c r="P102" s="14"/>
      <c r="Q102" s="14"/>
      <c r="R102" s="14"/>
      <c r="S102" s="14"/>
    </row>
    <row r="103" ht="14.25" customHeight="1">
      <c r="C103" s="39"/>
      <c r="D103" s="50" t="s">
        <v>324</v>
      </c>
      <c r="E103" s="41"/>
      <c r="F103" s="61" t="s">
        <v>293</v>
      </c>
      <c r="G103" s="44"/>
      <c r="H103" s="46"/>
      <c r="I103" s="61" t="s">
        <v>325</v>
      </c>
      <c r="J103" s="46"/>
      <c r="K103" s="61" t="s">
        <v>326</v>
      </c>
      <c r="L103" s="44"/>
      <c r="M103" s="46"/>
      <c r="N103" s="14"/>
      <c r="O103" s="14"/>
      <c r="P103" s="14"/>
      <c r="Q103" s="14"/>
      <c r="R103" s="14"/>
      <c r="S103" s="14"/>
    </row>
    <row r="104" ht="14.25" customHeight="1">
      <c r="C104" s="39"/>
      <c r="D104" s="50" t="s">
        <v>327</v>
      </c>
      <c r="E104" s="41"/>
      <c r="F104" s="61"/>
      <c r="G104" s="44"/>
      <c r="H104" s="46"/>
      <c r="I104" s="61"/>
      <c r="J104" s="46"/>
      <c r="K104" s="61"/>
      <c r="L104" s="44"/>
      <c r="M104" s="46"/>
      <c r="N104" s="14"/>
      <c r="O104" s="14"/>
      <c r="P104" s="14"/>
      <c r="Q104" s="14"/>
      <c r="R104" s="14"/>
      <c r="S104" s="14"/>
    </row>
    <row r="105" ht="14.25" customHeight="1"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14"/>
      <c r="O105" s="14"/>
      <c r="P105" s="14"/>
      <c r="Q105" s="14"/>
      <c r="R105" s="14"/>
      <c r="S105" s="14"/>
    </row>
    <row r="106" ht="14.25" customHeight="1">
      <c r="A106" s="39"/>
      <c r="B106" s="39"/>
      <c r="C106" s="39"/>
      <c r="D106" s="52" t="s">
        <v>296</v>
      </c>
      <c r="E106" s="27"/>
      <c r="F106" s="61"/>
      <c r="G106" s="44"/>
      <c r="H106" s="46"/>
      <c r="I106" s="39" t="s">
        <v>328</v>
      </c>
      <c r="J106" s="39"/>
      <c r="K106" s="39"/>
      <c r="L106" s="39"/>
      <c r="M106" s="39"/>
      <c r="N106" s="14"/>
      <c r="O106" s="14"/>
      <c r="P106" s="14"/>
      <c r="Q106" s="14"/>
      <c r="R106" s="14"/>
      <c r="S106" s="14"/>
    </row>
    <row r="107" ht="14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14"/>
      <c r="O107" s="14"/>
      <c r="P107" s="14"/>
      <c r="Q107" s="14"/>
      <c r="R107" s="14"/>
      <c r="S107" s="14"/>
    </row>
    <row r="108" ht="14.25" customHeight="1">
      <c r="A108" s="39"/>
      <c r="B108" s="39"/>
      <c r="C108" s="39"/>
      <c r="D108" s="39"/>
      <c r="E108" s="39"/>
      <c r="F108" s="53" t="s">
        <v>302</v>
      </c>
      <c r="G108" s="46"/>
      <c r="H108" s="53" t="s">
        <v>303</v>
      </c>
      <c r="I108" s="46"/>
      <c r="J108" s="107" t="s">
        <v>304</v>
      </c>
      <c r="K108" s="39" t="s">
        <v>305</v>
      </c>
      <c r="L108" s="61"/>
      <c r="M108" s="46"/>
      <c r="N108" s="14"/>
      <c r="O108" s="14"/>
      <c r="P108" s="14"/>
      <c r="Q108" s="14"/>
      <c r="R108" s="14"/>
      <c r="S108" s="14"/>
    </row>
    <row r="109" ht="14.25" customHeight="1">
      <c r="A109" s="39"/>
      <c r="B109" s="39"/>
      <c r="C109" s="39"/>
      <c r="D109" s="52" t="s">
        <v>301</v>
      </c>
      <c r="E109" s="54"/>
      <c r="F109" s="53" t="s">
        <v>308</v>
      </c>
      <c r="G109" s="46"/>
      <c r="H109" s="53" t="s">
        <v>309</v>
      </c>
      <c r="I109" s="46"/>
      <c r="J109" s="107" t="s">
        <v>310</v>
      </c>
      <c r="K109" s="110" t="s">
        <v>311</v>
      </c>
      <c r="L109" s="61"/>
      <c r="M109" s="46"/>
      <c r="N109" s="14"/>
      <c r="O109" s="14"/>
      <c r="P109" s="14"/>
      <c r="Q109" s="14"/>
      <c r="R109" s="14"/>
      <c r="S109" s="14"/>
    </row>
    <row r="110" ht="14.25" customHeight="1">
      <c r="A110" s="39"/>
      <c r="B110" s="39"/>
      <c r="C110" s="39"/>
      <c r="D110" s="39"/>
      <c r="E110" s="39"/>
      <c r="F110" s="53"/>
      <c r="G110" s="46"/>
      <c r="H110" s="53"/>
      <c r="I110" s="46"/>
      <c r="J110" s="107"/>
      <c r="K110" s="39"/>
      <c r="L110" s="39"/>
      <c r="M110" s="39"/>
      <c r="N110" s="14"/>
      <c r="O110" s="14"/>
      <c r="P110" s="14"/>
      <c r="Q110" s="14"/>
      <c r="R110" s="14"/>
      <c r="S110" s="14"/>
    </row>
    <row r="111" ht="14.25" customHeight="1">
      <c r="A111" s="39"/>
      <c r="B111" s="39"/>
      <c r="C111" s="39"/>
      <c r="D111" s="39"/>
      <c r="E111" s="39"/>
      <c r="F111" s="53" t="s">
        <v>315</v>
      </c>
      <c r="G111" s="46"/>
      <c r="H111" s="53" t="s">
        <v>316</v>
      </c>
      <c r="I111" s="46"/>
      <c r="J111" s="39"/>
      <c r="K111" s="59"/>
      <c r="L111" s="59"/>
      <c r="M111" s="59"/>
      <c r="N111" s="14"/>
      <c r="O111" s="14"/>
      <c r="P111" s="14"/>
      <c r="Q111" s="14"/>
      <c r="R111" s="14"/>
      <c r="S111" s="14"/>
    </row>
    <row r="112" ht="14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"/>
      <c r="O112" s="14"/>
      <c r="P112" s="14"/>
      <c r="Q112" s="14"/>
      <c r="R112" s="14"/>
      <c r="S112" s="14"/>
    </row>
    <row r="113" ht="14.25" customHeight="1">
      <c r="A113" s="39"/>
      <c r="B113" s="39"/>
      <c r="C113" s="39"/>
      <c r="D113" s="52" t="s">
        <v>329</v>
      </c>
      <c r="E113" s="27"/>
      <c r="F113" s="61"/>
      <c r="G113" s="44"/>
      <c r="H113" s="44"/>
      <c r="I113" s="44"/>
      <c r="J113" s="46"/>
      <c r="K113" s="60" t="s">
        <v>330</v>
      </c>
      <c r="L113" s="39"/>
      <c r="M113" s="39"/>
      <c r="N113" s="14"/>
      <c r="O113" s="14"/>
      <c r="P113" s="14"/>
      <c r="Q113" s="14"/>
      <c r="R113" s="14"/>
      <c r="S113" s="14"/>
    </row>
    <row r="114" ht="14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 t="s">
        <v>331</v>
      </c>
      <c r="L114" s="39"/>
      <c r="M114" s="39"/>
      <c r="N114" s="14"/>
      <c r="O114" s="14"/>
      <c r="P114" s="14"/>
      <c r="Q114" s="14"/>
      <c r="R114" s="14"/>
      <c r="S114" s="14"/>
    </row>
    <row r="115" ht="14.25" customHeight="1">
      <c r="A115" s="39"/>
      <c r="B115" s="39"/>
      <c r="C115" s="39"/>
      <c r="D115" s="52" t="s">
        <v>332</v>
      </c>
      <c r="E115" s="27"/>
      <c r="F115" s="60" t="s">
        <v>333</v>
      </c>
      <c r="G115" s="61"/>
      <c r="H115" s="44"/>
      <c r="I115" s="46"/>
      <c r="J115" s="39"/>
      <c r="K115" s="39" t="s">
        <v>334</v>
      </c>
      <c r="L115" s="39"/>
      <c r="M115" s="39"/>
      <c r="N115" s="14"/>
      <c r="O115" s="14"/>
      <c r="P115" s="14"/>
      <c r="Q115" s="14"/>
      <c r="R115" s="14"/>
      <c r="S115" s="14"/>
    </row>
    <row r="116" ht="14.25" customHeight="1">
      <c r="A116" s="39"/>
      <c r="B116" s="39"/>
      <c r="C116" s="39"/>
      <c r="D116" s="39"/>
      <c r="E116" s="39"/>
      <c r="F116" s="60" t="s">
        <v>335</v>
      </c>
      <c r="G116" s="61"/>
      <c r="H116" s="44"/>
      <c r="I116" s="46"/>
      <c r="J116" s="39"/>
      <c r="K116" s="39"/>
      <c r="L116" s="39"/>
      <c r="M116" s="39"/>
      <c r="N116" s="14"/>
      <c r="O116" s="14"/>
      <c r="P116" s="14"/>
      <c r="Q116" s="14"/>
      <c r="R116" s="14"/>
      <c r="S116" s="14"/>
    </row>
    <row r="117" ht="14.25" customHeight="1">
      <c r="A117" s="39"/>
      <c r="B117" s="39"/>
      <c r="C117" s="39"/>
      <c r="D117" s="39"/>
      <c r="E117" s="39"/>
      <c r="F117" s="60" t="s">
        <v>336</v>
      </c>
      <c r="G117" s="61"/>
      <c r="H117" s="44"/>
      <c r="I117" s="46"/>
      <c r="J117" s="39"/>
      <c r="K117" s="39"/>
      <c r="L117" s="39"/>
      <c r="M117" s="39"/>
      <c r="N117" s="14"/>
      <c r="O117" s="14"/>
      <c r="P117" s="14"/>
      <c r="Q117" s="14"/>
      <c r="R117" s="14"/>
      <c r="S117" s="14"/>
    </row>
    <row r="118" ht="14.25" customHeight="1">
      <c r="A118" s="39"/>
      <c r="B118" s="39"/>
      <c r="C118" s="39"/>
      <c r="D118" s="39"/>
      <c r="E118" s="39"/>
      <c r="F118" s="39"/>
      <c r="G118" s="100"/>
      <c r="H118" s="100"/>
      <c r="I118" s="100"/>
      <c r="J118" s="39"/>
      <c r="K118" s="39"/>
      <c r="L118" s="39"/>
      <c r="M118" s="39"/>
      <c r="N118" s="14"/>
      <c r="O118" s="14"/>
      <c r="P118" s="14"/>
      <c r="Q118" s="14"/>
      <c r="R118" s="14"/>
      <c r="S118" s="14"/>
    </row>
    <row r="119" ht="14.25" customHeight="1">
      <c r="A119" s="39"/>
      <c r="B119" s="39"/>
      <c r="C119" s="39"/>
      <c r="D119" s="52" t="s">
        <v>337</v>
      </c>
      <c r="E119" s="27"/>
      <c r="F119" s="114"/>
      <c r="G119" s="115"/>
      <c r="H119" s="115"/>
      <c r="I119" s="116"/>
      <c r="J119" s="39"/>
      <c r="K119" s="39"/>
      <c r="L119" s="39"/>
      <c r="M119" s="39"/>
      <c r="N119" s="14"/>
      <c r="O119" s="14"/>
      <c r="P119" s="14"/>
      <c r="Q119" s="14"/>
      <c r="R119" s="14"/>
      <c r="S119" s="14"/>
    </row>
    <row r="120" ht="14.25" customHeight="1">
      <c r="A120" s="39"/>
      <c r="B120" s="39"/>
      <c r="C120" s="39"/>
      <c r="D120" s="59" t="s">
        <v>338</v>
      </c>
      <c r="E120" s="59"/>
      <c r="F120" s="107"/>
      <c r="G120" s="82" t="s">
        <v>339</v>
      </c>
      <c r="H120" s="82"/>
      <c r="I120" s="117" t="s">
        <v>340</v>
      </c>
      <c r="J120" s="39"/>
      <c r="K120" s="39"/>
      <c r="L120" s="39"/>
      <c r="M120" s="39"/>
      <c r="N120" s="14"/>
      <c r="O120" s="14"/>
      <c r="P120" s="14"/>
      <c r="Q120" s="14"/>
      <c r="R120" s="14"/>
      <c r="S120" s="14"/>
    </row>
    <row r="121" ht="14.25" customHeight="1">
      <c r="A121" s="39"/>
      <c r="B121" s="39"/>
      <c r="C121" s="39"/>
      <c r="D121" s="59" t="s">
        <v>341</v>
      </c>
      <c r="E121" s="59"/>
      <c r="F121" s="107"/>
      <c r="G121" s="82" t="s">
        <v>339</v>
      </c>
      <c r="H121" s="82"/>
      <c r="I121" s="117" t="s">
        <v>340</v>
      </c>
      <c r="J121" s="39"/>
      <c r="K121" s="39"/>
      <c r="L121" s="39"/>
      <c r="M121" s="39"/>
      <c r="N121" s="14"/>
      <c r="O121" s="14"/>
      <c r="P121" s="14"/>
      <c r="Q121" s="14"/>
      <c r="R121" s="14"/>
      <c r="S121" s="14"/>
    </row>
    <row r="122" ht="14.25" customHeight="1">
      <c r="A122" s="39"/>
      <c r="B122" s="39"/>
      <c r="C122" s="39"/>
      <c r="D122" s="52" t="s">
        <v>342</v>
      </c>
      <c r="E122" s="27"/>
      <c r="F122" s="61"/>
      <c r="G122" s="44"/>
      <c r="H122" s="44"/>
      <c r="I122" s="44"/>
      <c r="J122" s="46"/>
      <c r="K122" s="60"/>
      <c r="L122" s="39"/>
      <c r="M122" s="39"/>
      <c r="N122" s="14"/>
      <c r="O122" s="14"/>
      <c r="P122" s="14"/>
      <c r="Q122" s="14"/>
      <c r="R122" s="14"/>
      <c r="S122" s="14"/>
    </row>
    <row r="123" ht="14.25" customHeight="1">
      <c r="A123" s="39"/>
      <c r="B123" s="39"/>
      <c r="C123" s="39"/>
      <c r="D123" s="59"/>
      <c r="E123" s="59"/>
      <c r="F123" s="118"/>
      <c r="G123" s="118"/>
      <c r="H123" s="118"/>
      <c r="I123" s="118"/>
      <c r="J123" s="100"/>
      <c r="K123" s="100"/>
      <c r="L123" s="39"/>
      <c r="M123" s="39"/>
      <c r="N123" s="14"/>
      <c r="O123" s="14"/>
      <c r="P123" s="14"/>
      <c r="Q123" s="14"/>
      <c r="R123" s="14"/>
      <c r="S123" s="14"/>
    </row>
    <row r="124" ht="14.25" customHeight="1">
      <c r="A124" s="39"/>
      <c r="B124" s="39"/>
      <c r="C124" s="39"/>
      <c r="D124" s="105" t="s">
        <v>343</v>
      </c>
      <c r="E124" s="27"/>
      <c r="F124" s="118">
        <v>65.0</v>
      </c>
      <c r="G124" s="118">
        <v>1.0</v>
      </c>
      <c r="H124" s="119">
        <v>200.0</v>
      </c>
      <c r="I124" s="120"/>
      <c r="J124" s="39"/>
      <c r="K124" s="39"/>
      <c r="L124" s="39"/>
      <c r="M124" s="39"/>
      <c r="N124" s="14"/>
      <c r="O124" s="14"/>
      <c r="P124" s="14"/>
      <c r="Q124" s="14"/>
      <c r="R124" s="14"/>
      <c r="S124" s="14"/>
    </row>
    <row r="125" ht="14.25" customHeight="1">
      <c r="A125" s="39"/>
      <c r="B125" s="39"/>
      <c r="C125" s="39"/>
      <c r="D125" s="39"/>
      <c r="E125" s="39"/>
      <c r="F125" s="39"/>
      <c r="G125" s="100"/>
      <c r="H125" s="100"/>
      <c r="I125" s="100"/>
      <c r="J125" s="39"/>
      <c r="K125" s="39"/>
      <c r="L125" s="39"/>
      <c r="M125" s="39"/>
      <c r="N125" s="14"/>
      <c r="O125" s="14"/>
      <c r="P125" s="14"/>
      <c r="Q125" s="14"/>
      <c r="R125" s="14"/>
      <c r="S125" s="14"/>
    </row>
    <row r="126" ht="14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14"/>
      <c r="O126" s="14"/>
      <c r="P126" s="14"/>
      <c r="Q126" s="14"/>
      <c r="R126" s="14"/>
      <c r="S126" s="14"/>
    </row>
    <row r="127" ht="14.25" customHeight="1">
      <c r="A127" s="39"/>
      <c r="B127" s="39"/>
      <c r="C127" s="39"/>
      <c r="D127" s="113" t="s">
        <v>344</v>
      </c>
      <c r="E127" s="54"/>
      <c r="F127" s="121" t="s">
        <v>345</v>
      </c>
      <c r="G127" s="121"/>
      <c r="H127" s="107"/>
      <c r="I127" s="107"/>
      <c r="J127" s="122"/>
      <c r="K127" s="63"/>
      <c r="L127" s="39"/>
      <c r="M127" s="39"/>
      <c r="N127" s="14"/>
      <c r="O127" s="14"/>
      <c r="P127" s="14"/>
      <c r="Q127" s="14"/>
      <c r="R127" s="14"/>
      <c r="S127" s="14"/>
    </row>
    <row r="128" ht="14.25" customHeight="1">
      <c r="A128" s="39"/>
      <c r="B128" s="39"/>
      <c r="C128" s="39"/>
      <c r="D128" s="39"/>
      <c r="E128" s="39"/>
      <c r="F128" s="123" t="s">
        <v>346</v>
      </c>
      <c r="G128" s="124"/>
      <c r="H128" s="124"/>
      <c r="I128" s="125"/>
      <c r="J128" s="122"/>
      <c r="K128" s="63"/>
      <c r="L128" s="39"/>
      <c r="M128" s="39"/>
      <c r="N128" s="14"/>
      <c r="O128" s="14"/>
      <c r="P128" s="14"/>
      <c r="Q128" s="14"/>
      <c r="R128" s="14"/>
      <c r="S128" s="14"/>
    </row>
    <row r="129" ht="14.25" customHeight="1">
      <c r="A129" s="39"/>
      <c r="B129" s="39"/>
      <c r="C129" s="39"/>
      <c r="D129" s="39"/>
      <c r="E129" s="39"/>
      <c r="F129" s="126" t="s">
        <v>347</v>
      </c>
      <c r="G129" s="44"/>
      <c r="H129" s="44"/>
      <c r="I129" s="46"/>
      <c r="J129" s="61"/>
      <c r="K129" s="46"/>
      <c r="L129" s="39"/>
      <c r="M129" s="39"/>
      <c r="N129" s="14"/>
      <c r="O129" s="14"/>
      <c r="P129" s="14"/>
      <c r="Q129" s="14"/>
      <c r="R129" s="14"/>
      <c r="S129" s="14"/>
    </row>
    <row r="130" ht="14.25" customHeight="1">
      <c r="A130" s="39"/>
      <c r="B130" s="39"/>
      <c r="C130" s="39"/>
      <c r="D130" s="39"/>
      <c r="E130" s="39"/>
      <c r="L130" s="39"/>
      <c r="M130" s="39"/>
      <c r="N130" s="14"/>
      <c r="O130" s="14"/>
      <c r="P130" s="14"/>
      <c r="Q130" s="14"/>
      <c r="R130" s="14"/>
      <c r="S130" s="14"/>
    </row>
    <row r="131" ht="14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14"/>
      <c r="O131" s="14"/>
      <c r="P131" s="14"/>
      <c r="Q131" s="14"/>
      <c r="R131" s="14"/>
      <c r="S131" s="14"/>
    </row>
    <row r="132" ht="14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14"/>
      <c r="O132" s="14"/>
      <c r="P132" s="14"/>
      <c r="Q132" s="14"/>
      <c r="R132" s="14"/>
      <c r="S132" s="14"/>
    </row>
    <row r="133" ht="14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14"/>
      <c r="O133" s="14"/>
      <c r="P133" s="14"/>
      <c r="Q133" s="14"/>
      <c r="R133" s="14"/>
      <c r="S133" s="14"/>
    </row>
    <row r="134" ht="14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14"/>
      <c r="O134" s="14"/>
      <c r="P134" s="14"/>
      <c r="Q134" s="14"/>
      <c r="R134" s="14"/>
      <c r="S134" s="14"/>
    </row>
    <row r="135" ht="14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14"/>
      <c r="O135" s="14"/>
      <c r="P135" s="14"/>
      <c r="Q135" s="14"/>
      <c r="R135" s="14"/>
      <c r="S135" s="14"/>
    </row>
    <row r="136" ht="14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14"/>
      <c r="O136" s="14"/>
      <c r="P136" s="14"/>
      <c r="Q136" s="14"/>
      <c r="R136" s="14"/>
      <c r="S136" s="14"/>
    </row>
    <row r="137" ht="14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14"/>
      <c r="O137" s="14"/>
      <c r="P137" s="14"/>
      <c r="Q137" s="14"/>
      <c r="R137" s="14"/>
      <c r="S137" s="14"/>
    </row>
    <row r="138" ht="14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14"/>
      <c r="O138" s="14"/>
      <c r="P138" s="14"/>
      <c r="Q138" s="14"/>
      <c r="R138" s="14"/>
      <c r="S138" s="14"/>
    </row>
    <row r="139" ht="14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14"/>
      <c r="O139" s="14"/>
      <c r="P139" s="14"/>
      <c r="Q139" s="14"/>
      <c r="R139" s="14"/>
      <c r="S139" s="14"/>
    </row>
    <row r="140" ht="14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14"/>
      <c r="O140" s="14"/>
      <c r="P140" s="14"/>
      <c r="Q140" s="14"/>
      <c r="R140" s="14"/>
      <c r="S140" s="14"/>
    </row>
    <row r="141" ht="14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14"/>
      <c r="O141" s="14"/>
      <c r="P141" s="14"/>
      <c r="Q141" s="14"/>
      <c r="R141" s="14"/>
      <c r="S141" s="14"/>
    </row>
    <row r="142" ht="14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14"/>
      <c r="O142" s="14"/>
      <c r="P142" s="14"/>
      <c r="Q142" s="14"/>
      <c r="R142" s="14"/>
      <c r="S142" s="14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14"/>
      <c r="O143" s="14"/>
      <c r="P143" s="14"/>
      <c r="Q143" s="14"/>
      <c r="R143" s="14"/>
      <c r="S143" s="14"/>
    </row>
    <row r="144" ht="14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4"/>
      <c r="O144" s="14"/>
      <c r="P144" s="14"/>
      <c r="Q144" s="14"/>
      <c r="R144" s="14"/>
      <c r="S144" s="14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14"/>
      <c r="O145" s="14"/>
      <c r="P145" s="14"/>
      <c r="Q145" s="14"/>
      <c r="R145" s="14"/>
      <c r="S145" s="14"/>
    </row>
    <row r="146" ht="14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14"/>
      <c r="O146" s="14"/>
      <c r="P146" s="14"/>
      <c r="Q146" s="14"/>
      <c r="R146" s="14"/>
      <c r="S146" s="14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14"/>
      <c r="O147" s="14"/>
      <c r="P147" s="14"/>
      <c r="Q147" s="14"/>
      <c r="R147" s="14"/>
      <c r="S147" s="14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14"/>
      <c r="O148" s="14"/>
      <c r="P148" s="14"/>
      <c r="Q148" s="14"/>
      <c r="R148" s="14"/>
      <c r="S148" s="14"/>
    </row>
    <row r="149" ht="14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14"/>
      <c r="O149" s="14"/>
      <c r="P149" s="14"/>
      <c r="Q149" s="14"/>
      <c r="R149" s="14"/>
      <c r="S149" s="14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14"/>
      <c r="O150" s="14"/>
      <c r="P150" s="14"/>
      <c r="Q150" s="14"/>
      <c r="R150" s="14"/>
      <c r="S150" s="14"/>
    </row>
    <row r="151" ht="14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14"/>
      <c r="O151" s="14"/>
      <c r="P151" s="14"/>
      <c r="Q151" s="14"/>
      <c r="R151" s="14"/>
      <c r="S151" s="14"/>
    </row>
    <row r="152" ht="14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14"/>
      <c r="O152" s="14"/>
      <c r="P152" s="14"/>
      <c r="Q152" s="14"/>
      <c r="R152" s="14"/>
      <c r="S152" s="14"/>
    </row>
    <row r="153" ht="14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14"/>
      <c r="O153" s="14"/>
      <c r="P153" s="14"/>
      <c r="Q153" s="14"/>
      <c r="R153" s="14"/>
      <c r="S153" s="14"/>
    </row>
    <row r="154" ht="14.25" customHeight="1">
      <c r="N154" s="14"/>
      <c r="O154" s="14"/>
      <c r="P154" s="14"/>
      <c r="Q154" s="14"/>
      <c r="R154" s="14"/>
      <c r="S154" s="14"/>
    </row>
    <row r="155" ht="14.25" customHeight="1">
      <c r="N155" s="14"/>
      <c r="O155" s="14"/>
      <c r="P155" s="14"/>
      <c r="Q155" s="14"/>
      <c r="R155" s="14"/>
      <c r="S155" s="14"/>
    </row>
    <row r="156" ht="14.25" customHeight="1">
      <c r="N156" s="14"/>
      <c r="O156" s="14"/>
      <c r="P156" s="14"/>
      <c r="Q156" s="14"/>
      <c r="R156" s="14"/>
      <c r="S156" s="14"/>
    </row>
    <row r="157" ht="14.25" customHeight="1">
      <c r="N157" s="14"/>
      <c r="O157" s="14"/>
      <c r="P157" s="14"/>
      <c r="Q157" s="14"/>
      <c r="R157" s="14"/>
      <c r="S157" s="14"/>
    </row>
    <row r="158" ht="14.25" customHeight="1">
      <c r="N158" s="14"/>
      <c r="O158" s="14"/>
      <c r="P158" s="14"/>
      <c r="Q158" s="14"/>
      <c r="R158" s="14"/>
      <c r="S158" s="14"/>
    </row>
    <row r="159" ht="14.25" customHeight="1">
      <c r="N159" s="14"/>
      <c r="O159" s="14"/>
      <c r="P159" s="14"/>
      <c r="Q159" s="14"/>
      <c r="R159" s="14"/>
      <c r="S159" s="14"/>
    </row>
    <row r="160" ht="14.25" customHeight="1">
      <c r="N160" s="14"/>
      <c r="O160" s="14"/>
      <c r="P160" s="14"/>
      <c r="Q160" s="14"/>
      <c r="R160" s="14"/>
      <c r="S160" s="14"/>
    </row>
    <row r="161" ht="14.25" customHeight="1">
      <c r="N161" s="14"/>
      <c r="O161" s="14"/>
      <c r="P161" s="14"/>
      <c r="Q161" s="14"/>
      <c r="R161" s="14"/>
      <c r="S161" s="14"/>
    </row>
    <row r="162" ht="14.25" customHeight="1">
      <c r="N162" s="14"/>
      <c r="O162" s="14"/>
      <c r="P162" s="14"/>
      <c r="Q162" s="14"/>
      <c r="R162" s="14"/>
      <c r="S162" s="14"/>
    </row>
    <row r="163" ht="14.25" customHeight="1">
      <c r="N163" s="14"/>
      <c r="O163" s="14"/>
      <c r="P163" s="14"/>
      <c r="Q163" s="14"/>
      <c r="R163" s="14"/>
      <c r="S163" s="14"/>
    </row>
    <row r="164" ht="14.25" customHeight="1">
      <c r="N164" s="14"/>
      <c r="O164" s="14"/>
      <c r="P164" s="14"/>
      <c r="Q164" s="14"/>
      <c r="R164" s="14"/>
      <c r="S164" s="14"/>
    </row>
    <row r="165" ht="14.25" customHeight="1">
      <c r="N165" s="14"/>
      <c r="O165" s="14"/>
      <c r="P165" s="14"/>
      <c r="Q165" s="14"/>
      <c r="R165" s="14"/>
      <c r="S165" s="14"/>
    </row>
    <row r="166" ht="14.25" customHeight="1">
      <c r="N166" s="14"/>
      <c r="O166" s="14"/>
      <c r="P166" s="14"/>
      <c r="Q166" s="14"/>
      <c r="R166" s="14"/>
      <c r="S166" s="14"/>
    </row>
    <row r="167" ht="14.25" customHeight="1">
      <c r="N167" s="14"/>
      <c r="O167" s="14"/>
      <c r="P167" s="14"/>
      <c r="Q167" s="14"/>
      <c r="R167" s="14"/>
      <c r="S167" s="14"/>
    </row>
    <row r="168" ht="14.25" customHeight="1">
      <c r="N168" s="14"/>
      <c r="O168" s="14"/>
      <c r="P168" s="14"/>
      <c r="Q168" s="14"/>
      <c r="R168" s="14"/>
      <c r="S168" s="14"/>
    </row>
    <row r="169" ht="14.25" customHeight="1">
      <c r="N169" s="14"/>
      <c r="O169" s="14"/>
      <c r="P169" s="14"/>
      <c r="Q169" s="14"/>
      <c r="R169" s="14"/>
      <c r="S169" s="14"/>
    </row>
    <row r="170" ht="14.25" customHeight="1">
      <c r="N170" s="14"/>
      <c r="O170" s="14"/>
      <c r="P170" s="14"/>
      <c r="Q170" s="14"/>
      <c r="R170" s="14"/>
      <c r="S170" s="14"/>
    </row>
    <row r="171" ht="14.25" customHeight="1">
      <c r="N171" s="14"/>
      <c r="O171" s="14"/>
      <c r="P171" s="14"/>
      <c r="Q171" s="14"/>
      <c r="R171" s="14"/>
      <c r="S171" s="14"/>
    </row>
    <row r="172" ht="14.25" customHeight="1">
      <c r="N172" s="14"/>
      <c r="O172" s="14"/>
      <c r="P172" s="14"/>
      <c r="Q172" s="14"/>
      <c r="R172" s="14"/>
      <c r="S172" s="14"/>
    </row>
    <row r="173" ht="14.25" customHeight="1">
      <c r="N173" s="14"/>
      <c r="O173" s="14"/>
      <c r="P173" s="14"/>
      <c r="Q173" s="14"/>
      <c r="R173" s="14"/>
      <c r="S173" s="14"/>
    </row>
    <row r="174" ht="14.25" customHeight="1">
      <c r="N174" s="14"/>
      <c r="O174" s="14"/>
      <c r="P174" s="14"/>
      <c r="Q174" s="14"/>
      <c r="R174" s="14"/>
      <c r="S174" s="14"/>
    </row>
    <row r="175" ht="14.25" customHeight="1">
      <c r="N175" s="14"/>
      <c r="O175" s="14"/>
      <c r="P175" s="14"/>
      <c r="Q175" s="14"/>
      <c r="R175" s="14"/>
      <c r="S175" s="14"/>
    </row>
    <row r="176" ht="14.25" customHeight="1">
      <c r="N176" s="14"/>
      <c r="O176" s="14"/>
      <c r="P176" s="14"/>
      <c r="Q176" s="14"/>
      <c r="R176" s="14"/>
      <c r="S176" s="14"/>
    </row>
    <row r="177" ht="14.25" customHeight="1">
      <c r="N177" s="14"/>
      <c r="O177" s="14"/>
      <c r="P177" s="14"/>
      <c r="Q177" s="14"/>
      <c r="R177" s="14"/>
      <c r="S177" s="14"/>
    </row>
    <row r="178" ht="14.25" customHeight="1">
      <c r="N178" s="14"/>
      <c r="O178" s="14"/>
      <c r="P178" s="14"/>
      <c r="Q178" s="14"/>
      <c r="R178" s="14"/>
      <c r="S178" s="14"/>
    </row>
    <row r="179" ht="14.25" customHeight="1">
      <c r="N179" s="14"/>
      <c r="O179" s="14"/>
      <c r="P179" s="14"/>
      <c r="Q179" s="14"/>
      <c r="R179" s="14"/>
      <c r="S179" s="14"/>
    </row>
    <row r="180" ht="14.25" customHeight="1">
      <c r="N180" s="14"/>
      <c r="O180" s="14"/>
      <c r="P180" s="14"/>
      <c r="Q180" s="14"/>
      <c r="R180" s="14"/>
      <c r="S180" s="14"/>
    </row>
    <row r="181" ht="14.25" customHeight="1">
      <c r="N181" s="14"/>
      <c r="O181" s="14"/>
      <c r="P181" s="14"/>
      <c r="Q181" s="14"/>
      <c r="R181" s="14"/>
      <c r="S181" s="14"/>
    </row>
    <row r="182" ht="14.25" customHeight="1">
      <c r="N182" s="14"/>
      <c r="O182" s="14"/>
      <c r="P182" s="14"/>
      <c r="Q182" s="14"/>
      <c r="R182" s="14"/>
      <c r="S182" s="14"/>
    </row>
    <row r="183" ht="14.25" customHeight="1">
      <c r="N183" s="14"/>
      <c r="O183" s="14"/>
      <c r="P183" s="14"/>
      <c r="Q183" s="14"/>
      <c r="R183" s="14"/>
      <c r="S183" s="14"/>
    </row>
    <row r="184" ht="14.25" customHeight="1">
      <c r="N184" s="14"/>
      <c r="O184" s="14"/>
      <c r="P184" s="14"/>
      <c r="Q184" s="14"/>
      <c r="R184" s="14"/>
      <c r="S184" s="14"/>
    </row>
    <row r="185" ht="14.25" customHeight="1">
      <c r="N185" s="14"/>
      <c r="O185" s="14"/>
      <c r="P185" s="14"/>
      <c r="Q185" s="14"/>
      <c r="R185" s="14"/>
      <c r="S185" s="14"/>
    </row>
    <row r="186" ht="14.25" customHeight="1">
      <c r="N186" s="14"/>
      <c r="O186" s="14"/>
      <c r="P186" s="14"/>
      <c r="Q186" s="14"/>
      <c r="R186" s="14"/>
      <c r="S186" s="14"/>
    </row>
    <row r="187" ht="14.25" customHeight="1">
      <c r="N187" s="14"/>
      <c r="O187" s="14"/>
      <c r="P187" s="14"/>
      <c r="Q187" s="14"/>
      <c r="R187" s="14"/>
      <c r="S187" s="14"/>
    </row>
    <row r="188" ht="14.25" customHeight="1">
      <c r="N188" s="14"/>
      <c r="O188" s="14"/>
      <c r="P188" s="14"/>
      <c r="Q188" s="14"/>
      <c r="R188" s="14"/>
      <c r="S188" s="14"/>
    </row>
    <row r="189" ht="14.25" customHeight="1">
      <c r="N189" s="14"/>
      <c r="O189" s="14"/>
      <c r="P189" s="14"/>
      <c r="Q189" s="14"/>
      <c r="R189" s="14"/>
      <c r="S189" s="14"/>
    </row>
    <row r="190" ht="14.25" customHeight="1">
      <c r="N190" s="14"/>
      <c r="O190" s="14"/>
      <c r="P190" s="14"/>
      <c r="Q190" s="14"/>
      <c r="R190" s="14"/>
      <c r="S190" s="14"/>
    </row>
    <row r="191" ht="14.25" customHeight="1">
      <c r="N191" s="14"/>
      <c r="O191" s="14"/>
      <c r="P191" s="14"/>
      <c r="Q191" s="14"/>
      <c r="R191" s="14"/>
      <c r="S191" s="14"/>
    </row>
    <row r="192" ht="14.25" customHeight="1">
      <c r="N192" s="14"/>
      <c r="O192" s="14"/>
      <c r="P192" s="14"/>
      <c r="Q192" s="14"/>
      <c r="R192" s="14"/>
      <c r="S192" s="14"/>
    </row>
    <row r="193" ht="14.25" customHeight="1">
      <c r="N193" s="14"/>
      <c r="O193" s="14"/>
      <c r="P193" s="14"/>
      <c r="Q193" s="14"/>
      <c r="R193" s="14"/>
      <c r="S193" s="14"/>
    </row>
    <row r="194" ht="14.25" customHeight="1">
      <c r="N194" s="14"/>
      <c r="O194" s="14"/>
      <c r="P194" s="14"/>
      <c r="Q194" s="14"/>
      <c r="R194" s="14"/>
      <c r="S194" s="14"/>
    </row>
    <row r="195" ht="14.25" customHeight="1">
      <c r="N195" s="14"/>
      <c r="O195" s="14"/>
      <c r="P195" s="14"/>
      <c r="Q195" s="14"/>
      <c r="R195" s="14"/>
      <c r="S195" s="14"/>
    </row>
    <row r="196" ht="14.25" customHeight="1">
      <c r="N196" s="14"/>
      <c r="O196" s="14"/>
      <c r="P196" s="14"/>
      <c r="Q196" s="14"/>
      <c r="R196" s="14"/>
      <c r="S196" s="14"/>
    </row>
    <row r="197" ht="14.25" customHeight="1">
      <c r="N197" s="14"/>
      <c r="O197" s="14"/>
      <c r="P197" s="14"/>
      <c r="Q197" s="14"/>
      <c r="R197" s="14"/>
      <c r="S197" s="14"/>
    </row>
    <row r="198" ht="14.25" customHeight="1">
      <c r="N198" s="14"/>
      <c r="O198" s="14"/>
      <c r="P198" s="14"/>
      <c r="Q198" s="14"/>
      <c r="R198" s="14"/>
      <c r="S198" s="14"/>
    </row>
    <row r="199" ht="14.25" customHeight="1">
      <c r="N199" s="14"/>
      <c r="O199" s="14"/>
      <c r="P199" s="14"/>
      <c r="Q199" s="14"/>
      <c r="R199" s="14"/>
      <c r="S199" s="14"/>
    </row>
    <row r="200" ht="14.25" customHeight="1">
      <c r="N200" s="14"/>
      <c r="O200" s="14"/>
      <c r="P200" s="14"/>
      <c r="Q200" s="14"/>
      <c r="R200" s="14"/>
      <c r="S200" s="14"/>
    </row>
    <row r="201" ht="14.25" customHeight="1">
      <c r="N201" s="14"/>
      <c r="O201" s="14"/>
      <c r="P201" s="14"/>
      <c r="Q201" s="14"/>
      <c r="R201" s="14"/>
      <c r="S201" s="14"/>
    </row>
    <row r="202" ht="14.25" customHeight="1">
      <c r="N202" s="14"/>
      <c r="O202" s="14"/>
      <c r="P202" s="14"/>
      <c r="Q202" s="14"/>
      <c r="R202" s="14"/>
      <c r="S202" s="14"/>
    </row>
    <row r="203" ht="14.25" customHeight="1">
      <c r="N203" s="14"/>
      <c r="O203" s="14"/>
      <c r="P203" s="14"/>
      <c r="Q203" s="14"/>
      <c r="R203" s="14"/>
      <c r="S203" s="14"/>
    </row>
    <row r="204" ht="14.25" customHeight="1">
      <c r="N204" s="14"/>
      <c r="O204" s="14"/>
      <c r="P204" s="14"/>
      <c r="Q204" s="14"/>
      <c r="R204" s="14"/>
      <c r="S204" s="14"/>
    </row>
    <row r="205" ht="14.25" customHeight="1">
      <c r="N205" s="14"/>
      <c r="O205" s="14"/>
      <c r="P205" s="14"/>
      <c r="Q205" s="14"/>
      <c r="R205" s="14"/>
      <c r="S205" s="14"/>
    </row>
    <row r="206" ht="14.25" customHeight="1">
      <c r="N206" s="14"/>
      <c r="O206" s="14"/>
      <c r="P206" s="14"/>
      <c r="Q206" s="14"/>
      <c r="R206" s="14"/>
      <c r="S206" s="14"/>
    </row>
    <row r="207" ht="14.25" customHeight="1">
      <c r="N207" s="14"/>
      <c r="O207" s="14"/>
      <c r="P207" s="14"/>
      <c r="Q207" s="14"/>
      <c r="R207" s="14"/>
      <c r="S207" s="14"/>
    </row>
    <row r="208" ht="14.25" customHeight="1">
      <c r="N208" s="14"/>
      <c r="O208" s="14"/>
      <c r="P208" s="14"/>
      <c r="Q208" s="14"/>
      <c r="R208" s="14"/>
      <c r="S208" s="14"/>
    </row>
    <row r="209" ht="14.25" customHeight="1">
      <c r="N209" s="14"/>
      <c r="O209" s="14"/>
      <c r="P209" s="14"/>
      <c r="Q209" s="14"/>
      <c r="R209" s="14"/>
      <c r="S209" s="14"/>
    </row>
    <row r="210" ht="14.25" customHeight="1">
      <c r="N210" s="14"/>
      <c r="O210" s="14"/>
      <c r="P210" s="14"/>
      <c r="Q210" s="14"/>
      <c r="R210" s="14"/>
      <c r="S210" s="14"/>
    </row>
    <row r="211" ht="14.25" customHeight="1">
      <c r="N211" s="14"/>
      <c r="O211" s="14"/>
      <c r="P211" s="14"/>
      <c r="Q211" s="14"/>
      <c r="R211" s="14"/>
      <c r="S211" s="14"/>
    </row>
    <row r="212" ht="14.25" customHeight="1">
      <c r="N212" s="14"/>
      <c r="O212" s="14"/>
      <c r="P212" s="14"/>
      <c r="Q212" s="14"/>
      <c r="R212" s="14"/>
      <c r="S212" s="14"/>
    </row>
    <row r="213" ht="14.25" customHeight="1">
      <c r="N213" s="14"/>
      <c r="O213" s="14"/>
      <c r="P213" s="14"/>
      <c r="Q213" s="14"/>
      <c r="R213" s="14"/>
      <c r="S213" s="14"/>
    </row>
    <row r="214" ht="14.25" customHeight="1">
      <c r="N214" s="14"/>
      <c r="O214" s="14"/>
      <c r="P214" s="14"/>
      <c r="Q214" s="14"/>
      <c r="R214" s="14"/>
      <c r="S214" s="14"/>
    </row>
    <row r="215" ht="14.25" customHeight="1">
      <c r="N215" s="14"/>
      <c r="O215" s="14"/>
      <c r="P215" s="14"/>
      <c r="Q215" s="14"/>
      <c r="R215" s="14"/>
      <c r="S215" s="14"/>
    </row>
    <row r="216" ht="14.25" customHeight="1">
      <c r="N216" s="14"/>
      <c r="O216" s="14"/>
      <c r="P216" s="14"/>
      <c r="Q216" s="14"/>
      <c r="R216" s="14"/>
      <c r="S216" s="14"/>
    </row>
    <row r="217" ht="14.25" customHeight="1">
      <c r="N217" s="14"/>
      <c r="O217" s="14"/>
      <c r="P217" s="14"/>
      <c r="Q217" s="14"/>
      <c r="R217" s="14"/>
      <c r="S217" s="14"/>
    </row>
    <row r="218" ht="14.25" customHeight="1">
      <c r="N218" s="14"/>
      <c r="O218" s="14"/>
      <c r="P218" s="14"/>
      <c r="Q218" s="14"/>
      <c r="R218" s="14"/>
      <c r="S218" s="14"/>
    </row>
    <row r="219" ht="14.25" customHeight="1">
      <c r="N219" s="14"/>
      <c r="O219" s="14"/>
      <c r="P219" s="14"/>
      <c r="Q219" s="14"/>
      <c r="R219" s="14"/>
      <c r="S219" s="14"/>
    </row>
    <row r="220" ht="14.25" customHeight="1">
      <c r="N220" s="14"/>
      <c r="O220" s="14"/>
      <c r="P220" s="14"/>
      <c r="Q220" s="14"/>
      <c r="R220" s="14"/>
      <c r="S220" s="14"/>
    </row>
    <row r="221" ht="14.25" customHeight="1">
      <c r="N221" s="14"/>
      <c r="O221" s="14"/>
      <c r="P221" s="14"/>
      <c r="Q221" s="14"/>
      <c r="R221" s="14"/>
      <c r="S221" s="14"/>
    </row>
    <row r="222" ht="14.25" customHeight="1">
      <c r="N222" s="14"/>
      <c r="O222" s="14"/>
      <c r="P222" s="14"/>
      <c r="Q222" s="14"/>
      <c r="R222" s="14"/>
      <c r="S222" s="14"/>
    </row>
    <row r="223" ht="14.25" customHeight="1">
      <c r="N223" s="14"/>
      <c r="O223" s="14"/>
      <c r="P223" s="14"/>
      <c r="Q223" s="14"/>
      <c r="R223" s="14"/>
      <c r="S223" s="14"/>
    </row>
    <row r="224" ht="14.25" customHeight="1">
      <c r="N224" s="14"/>
      <c r="O224" s="14"/>
      <c r="P224" s="14"/>
      <c r="Q224" s="14"/>
      <c r="R224" s="14"/>
      <c r="S224" s="14"/>
    </row>
    <row r="225" ht="14.25" customHeight="1">
      <c r="N225" s="14"/>
      <c r="O225" s="14"/>
      <c r="P225" s="14"/>
      <c r="Q225" s="14"/>
      <c r="R225" s="14"/>
      <c r="S225" s="14"/>
    </row>
    <row r="226" ht="14.25" customHeight="1">
      <c r="N226" s="14"/>
      <c r="O226" s="14"/>
      <c r="P226" s="14"/>
      <c r="Q226" s="14"/>
      <c r="R226" s="14"/>
      <c r="S226" s="14"/>
    </row>
    <row r="227" ht="14.25" customHeight="1">
      <c r="N227" s="14"/>
      <c r="O227" s="14"/>
      <c r="P227" s="14"/>
      <c r="Q227" s="14"/>
      <c r="R227" s="14"/>
      <c r="S227" s="14"/>
    </row>
    <row r="228" ht="14.25" customHeight="1">
      <c r="N228" s="14"/>
      <c r="O228" s="14"/>
      <c r="P228" s="14"/>
      <c r="Q228" s="14"/>
      <c r="R228" s="14"/>
      <c r="S228" s="14"/>
    </row>
    <row r="229" ht="14.25" customHeight="1">
      <c r="N229" s="14"/>
      <c r="O229" s="14"/>
      <c r="P229" s="14"/>
      <c r="Q229" s="14"/>
      <c r="R229" s="14"/>
      <c r="S229" s="14"/>
    </row>
    <row r="230" ht="14.25" customHeight="1">
      <c r="N230" s="14"/>
      <c r="O230" s="14"/>
      <c r="P230" s="14"/>
      <c r="Q230" s="14"/>
      <c r="R230" s="14"/>
      <c r="S230" s="14"/>
    </row>
    <row r="231" ht="14.25" customHeight="1">
      <c r="N231" s="14"/>
      <c r="O231" s="14"/>
      <c r="P231" s="14"/>
      <c r="Q231" s="14"/>
      <c r="R231" s="14"/>
      <c r="S231" s="14"/>
    </row>
    <row r="232" ht="14.25" customHeight="1">
      <c r="N232" s="14"/>
      <c r="O232" s="14"/>
      <c r="P232" s="14"/>
      <c r="Q232" s="14"/>
      <c r="R232" s="14"/>
      <c r="S232" s="14"/>
    </row>
    <row r="233" ht="14.25" customHeight="1">
      <c r="N233" s="14"/>
      <c r="O233" s="14"/>
      <c r="P233" s="14"/>
      <c r="Q233" s="14"/>
      <c r="R233" s="14"/>
      <c r="S233" s="14"/>
    </row>
    <row r="234" ht="14.25" customHeight="1">
      <c r="N234" s="14"/>
      <c r="O234" s="14"/>
      <c r="P234" s="14"/>
      <c r="Q234" s="14"/>
      <c r="R234" s="14"/>
      <c r="S234" s="14"/>
    </row>
    <row r="235" ht="14.25" customHeight="1">
      <c r="N235" s="14"/>
      <c r="O235" s="14"/>
      <c r="P235" s="14"/>
      <c r="Q235" s="14"/>
      <c r="R235" s="14"/>
      <c r="S235" s="14"/>
    </row>
    <row r="236" ht="14.25" customHeight="1">
      <c r="N236" s="14"/>
      <c r="O236" s="14"/>
      <c r="P236" s="14"/>
      <c r="Q236" s="14"/>
      <c r="R236" s="14"/>
      <c r="S236" s="14"/>
    </row>
    <row r="237" ht="14.25" customHeight="1">
      <c r="N237" s="14"/>
      <c r="O237" s="14"/>
      <c r="P237" s="14"/>
      <c r="Q237" s="14"/>
      <c r="R237" s="14"/>
      <c r="S237" s="14"/>
    </row>
    <row r="238" ht="14.25" customHeight="1">
      <c r="N238" s="14"/>
      <c r="O238" s="14"/>
      <c r="P238" s="14"/>
      <c r="Q238" s="14"/>
      <c r="R238" s="14"/>
      <c r="S238" s="14"/>
    </row>
    <row r="239" ht="14.25" customHeight="1">
      <c r="N239" s="14"/>
      <c r="O239" s="14"/>
      <c r="P239" s="14"/>
      <c r="Q239" s="14"/>
      <c r="R239" s="14"/>
      <c r="S239" s="14"/>
    </row>
    <row r="240" ht="14.25" customHeight="1">
      <c r="N240" s="14"/>
      <c r="O240" s="14"/>
      <c r="P240" s="14"/>
      <c r="Q240" s="14"/>
      <c r="R240" s="14"/>
      <c r="S240" s="14"/>
    </row>
    <row r="241" ht="14.25" customHeight="1">
      <c r="N241" s="14"/>
      <c r="O241" s="14"/>
      <c r="P241" s="14"/>
      <c r="Q241" s="14"/>
      <c r="R241" s="14"/>
      <c r="S241" s="14"/>
    </row>
    <row r="242" ht="14.25" customHeight="1">
      <c r="N242" s="14"/>
      <c r="O242" s="14"/>
      <c r="P242" s="14"/>
      <c r="Q242" s="14"/>
      <c r="R242" s="14"/>
      <c r="S242" s="14"/>
    </row>
    <row r="243" ht="14.25" customHeight="1">
      <c r="N243" s="14"/>
      <c r="O243" s="14"/>
      <c r="P243" s="14"/>
      <c r="Q243" s="14"/>
      <c r="R243" s="14"/>
      <c r="S243" s="14"/>
    </row>
    <row r="244" ht="14.25" customHeight="1">
      <c r="N244" s="14"/>
      <c r="O244" s="14"/>
      <c r="P244" s="14"/>
      <c r="Q244" s="14"/>
      <c r="R244" s="14"/>
      <c r="S244" s="14"/>
    </row>
    <row r="245" ht="14.25" customHeight="1">
      <c r="N245" s="14"/>
      <c r="O245" s="14"/>
      <c r="P245" s="14"/>
      <c r="Q245" s="14"/>
      <c r="R245" s="14"/>
      <c r="S245" s="14"/>
    </row>
    <row r="246" ht="14.25" customHeight="1">
      <c r="N246" s="14"/>
      <c r="O246" s="14"/>
      <c r="P246" s="14"/>
      <c r="Q246" s="14"/>
      <c r="R246" s="14"/>
      <c r="S246" s="14"/>
    </row>
    <row r="247" ht="14.25" customHeight="1">
      <c r="N247" s="14"/>
      <c r="O247" s="14"/>
      <c r="P247" s="14"/>
      <c r="Q247" s="14"/>
      <c r="R247" s="14"/>
      <c r="S247" s="14"/>
    </row>
    <row r="248" ht="14.25" customHeight="1">
      <c r="N248" s="14"/>
      <c r="O248" s="14"/>
      <c r="P248" s="14"/>
      <c r="Q248" s="14"/>
      <c r="R248" s="14"/>
      <c r="S248" s="14"/>
    </row>
    <row r="249" ht="14.25" customHeight="1">
      <c r="N249" s="14"/>
      <c r="O249" s="14"/>
      <c r="P249" s="14"/>
      <c r="Q249" s="14"/>
      <c r="R249" s="14"/>
      <c r="S249" s="14"/>
    </row>
    <row r="250" ht="14.25" customHeight="1">
      <c r="N250" s="14"/>
      <c r="O250" s="14"/>
      <c r="P250" s="14"/>
      <c r="Q250" s="14"/>
      <c r="R250" s="14"/>
      <c r="S250" s="14"/>
    </row>
    <row r="251" ht="14.25" customHeight="1">
      <c r="N251" s="14"/>
      <c r="O251" s="14"/>
      <c r="P251" s="14"/>
      <c r="Q251" s="14"/>
      <c r="R251" s="14"/>
      <c r="S251" s="14"/>
    </row>
    <row r="252" ht="14.25" customHeight="1">
      <c r="N252" s="14"/>
      <c r="O252" s="14"/>
      <c r="P252" s="14"/>
      <c r="Q252" s="14"/>
      <c r="R252" s="14"/>
      <c r="S252" s="14"/>
    </row>
    <row r="253" ht="14.25" customHeight="1">
      <c r="N253" s="14"/>
      <c r="O253" s="14"/>
      <c r="P253" s="14"/>
      <c r="Q253" s="14"/>
      <c r="R253" s="14"/>
      <c r="S253" s="14"/>
    </row>
    <row r="254" ht="14.25" customHeight="1">
      <c r="N254" s="14"/>
      <c r="O254" s="14"/>
      <c r="P254" s="14"/>
      <c r="Q254" s="14"/>
      <c r="R254" s="14"/>
      <c r="S254" s="14"/>
    </row>
    <row r="255" ht="14.25" customHeight="1">
      <c r="N255" s="14"/>
      <c r="O255" s="14"/>
      <c r="P255" s="14"/>
      <c r="Q255" s="14"/>
      <c r="R255" s="14"/>
      <c r="S255" s="14"/>
    </row>
    <row r="256" ht="14.25" customHeight="1">
      <c r="N256" s="14"/>
      <c r="O256" s="14"/>
      <c r="P256" s="14"/>
      <c r="Q256" s="14"/>
      <c r="R256" s="14"/>
      <c r="S256" s="14"/>
    </row>
    <row r="257" ht="14.25" customHeight="1">
      <c r="N257" s="14"/>
      <c r="O257" s="14"/>
      <c r="P257" s="14"/>
      <c r="Q257" s="14"/>
      <c r="R257" s="14"/>
      <c r="S257" s="14"/>
    </row>
    <row r="258" ht="14.25" customHeight="1">
      <c r="N258" s="14"/>
      <c r="O258" s="14"/>
      <c r="P258" s="14"/>
      <c r="Q258" s="14"/>
      <c r="R258" s="14"/>
      <c r="S258" s="14"/>
    </row>
    <row r="259" ht="14.25" customHeight="1">
      <c r="N259" s="14"/>
      <c r="O259" s="14"/>
      <c r="P259" s="14"/>
      <c r="Q259" s="14"/>
      <c r="R259" s="14"/>
      <c r="S259" s="14"/>
    </row>
    <row r="260" ht="14.25" customHeight="1">
      <c r="N260" s="14"/>
      <c r="O260" s="14"/>
      <c r="P260" s="14"/>
      <c r="Q260" s="14"/>
      <c r="R260" s="14"/>
      <c r="S260" s="14"/>
    </row>
    <row r="261" ht="14.25" customHeight="1">
      <c r="N261" s="14"/>
      <c r="O261" s="14"/>
      <c r="P261" s="14"/>
      <c r="Q261" s="14"/>
      <c r="R261" s="14"/>
      <c r="S261" s="14"/>
    </row>
    <row r="262" ht="14.25" customHeight="1">
      <c r="N262" s="14"/>
      <c r="O262" s="14"/>
      <c r="P262" s="14"/>
      <c r="Q262" s="14"/>
      <c r="R262" s="14"/>
      <c r="S262" s="14"/>
    </row>
    <row r="263" ht="14.25" customHeight="1">
      <c r="N263" s="14"/>
      <c r="O263" s="14"/>
      <c r="P263" s="14"/>
      <c r="Q263" s="14"/>
      <c r="R263" s="14"/>
      <c r="S263" s="14"/>
    </row>
    <row r="264" ht="14.25" customHeight="1">
      <c r="N264" s="14"/>
      <c r="O264" s="14"/>
      <c r="P264" s="14"/>
      <c r="Q264" s="14"/>
      <c r="R264" s="14"/>
      <c r="S264" s="14"/>
    </row>
    <row r="265" ht="14.25" customHeight="1">
      <c r="N265" s="14"/>
      <c r="O265" s="14"/>
      <c r="P265" s="14"/>
      <c r="Q265" s="14"/>
      <c r="R265" s="14"/>
      <c r="S265" s="14"/>
    </row>
    <row r="266" ht="14.25" customHeight="1">
      <c r="N266" s="14"/>
      <c r="O266" s="14"/>
      <c r="P266" s="14"/>
      <c r="Q266" s="14"/>
      <c r="R266" s="14"/>
      <c r="S266" s="14"/>
    </row>
    <row r="267" ht="14.25" customHeight="1">
      <c r="N267" s="14"/>
      <c r="O267" s="14"/>
      <c r="P267" s="14"/>
      <c r="Q267" s="14"/>
      <c r="R267" s="14"/>
      <c r="S267" s="14"/>
    </row>
    <row r="268" ht="14.25" customHeight="1">
      <c r="N268" s="14"/>
      <c r="O268" s="14"/>
      <c r="P268" s="14"/>
      <c r="Q268" s="14"/>
      <c r="R268" s="14"/>
      <c r="S268" s="14"/>
    </row>
    <row r="269" ht="14.25" customHeight="1">
      <c r="N269" s="14"/>
      <c r="O269" s="14"/>
      <c r="P269" s="14"/>
      <c r="Q269" s="14"/>
      <c r="R269" s="14"/>
      <c r="S269" s="14"/>
    </row>
    <row r="270" ht="14.25" customHeight="1">
      <c r="N270" s="14"/>
      <c r="O270" s="14"/>
      <c r="P270" s="14"/>
      <c r="Q270" s="14"/>
      <c r="R270" s="14"/>
      <c r="S270" s="14"/>
    </row>
    <row r="271" ht="14.25" customHeight="1">
      <c r="N271" s="14"/>
      <c r="O271" s="14"/>
      <c r="P271" s="14"/>
      <c r="Q271" s="14"/>
      <c r="R271" s="14"/>
      <c r="S271" s="14"/>
    </row>
    <row r="272" ht="14.25" customHeight="1">
      <c r="N272" s="14"/>
      <c r="O272" s="14"/>
      <c r="P272" s="14"/>
      <c r="Q272" s="14"/>
      <c r="R272" s="14"/>
      <c r="S272" s="14"/>
    </row>
    <row r="273" ht="14.25" customHeight="1">
      <c r="N273" s="14"/>
      <c r="O273" s="14"/>
      <c r="P273" s="14"/>
      <c r="Q273" s="14"/>
      <c r="R273" s="14"/>
      <c r="S273" s="14"/>
    </row>
    <row r="274" ht="14.25" customHeight="1">
      <c r="N274" s="14"/>
      <c r="O274" s="14"/>
      <c r="P274" s="14"/>
      <c r="Q274" s="14"/>
      <c r="R274" s="14"/>
      <c r="S274" s="14"/>
    </row>
    <row r="275" ht="14.25" customHeight="1">
      <c r="N275" s="14"/>
      <c r="O275" s="14"/>
      <c r="P275" s="14"/>
      <c r="Q275" s="14"/>
      <c r="R275" s="14"/>
      <c r="S275" s="14"/>
    </row>
    <row r="276" ht="14.25" customHeight="1">
      <c r="N276" s="14"/>
      <c r="O276" s="14"/>
      <c r="P276" s="14"/>
      <c r="Q276" s="14"/>
      <c r="R276" s="14"/>
      <c r="S276" s="14"/>
    </row>
    <row r="277" ht="14.25" customHeight="1">
      <c r="N277" s="14"/>
      <c r="O277" s="14"/>
      <c r="P277" s="14"/>
      <c r="Q277" s="14"/>
      <c r="R277" s="14"/>
      <c r="S277" s="14"/>
    </row>
    <row r="278" ht="14.25" customHeight="1">
      <c r="N278" s="14"/>
      <c r="O278" s="14"/>
      <c r="P278" s="14"/>
      <c r="Q278" s="14"/>
      <c r="R278" s="14"/>
      <c r="S278" s="14"/>
    </row>
    <row r="279" ht="14.25" customHeight="1">
      <c r="N279" s="14"/>
      <c r="O279" s="14"/>
      <c r="P279" s="14"/>
      <c r="Q279" s="14"/>
      <c r="R279" s="14"/>
      <c r="S279" s="14"/>
    </row>
    <row r="280" ht="14.25" customHeight="1">
      <c r="N280" s="14"/>
      <c r="O280" s="14"/>
      <c r="P280" s="14"/>
      <c r="Q280" s="14"/>
      <c r="R280" s="14"/>
      <c r="S280" s="14"/>
    </row>
    <row r="281" ht="14.25" customHeight="1">
      <c r="N281" s="14"/>
      <c r="O281" s="14"/>
      <c r="P281" s="14"/>
      <c r="Q281" s="14"/>
      <c r="R281" s="14"/>
      <c r="S281" s="14"/>
    </row>
    <row r="282" ht="14.25" customHeight="1">
      <c r="N282" s="14"/>
      <c r="O282" s="14"/>
      <c r="P282" s="14"/>
      <c r="Q282" s="14"/>
      <c r="R282" s="14"/>
      <c r="S282" s="14"/>
    </row>
    <row r="283" ht="14.25" customHeight="1">
      <c r="N283" s="14"/>
      <c r="O283" s="14"/>
      <c r="P283" s="14"/>
      <c r="Q283" s="14"/>
      <c r="R283" s="14"/>
      <c r="S283" s="14"/>
    </row>
    <row r="284" ht="14.25" customHeight="1">
      <c r="N284" s="14"/>
      <c r="O284" s="14"/>
      <c r="P284" s="14"/>
      <c r="Q284" s="14"/>
      <c r="R284" s="14"/>
      <c r="S284" s="14"/>
    </row>
    <row r="285" ht="14.25" customHeight="1">
      <c r="N285" s="14"/>
      <c r="O285" s="14"/>
      <c r="P285" s="14"/>
      <c r="Q285" s="14"/>
      <c r="R285" s="14"/>
      <c r="S285" s="14"/>
    </row>
    <row r="286" ht="14.25" customHeight="1">
      <c r="N286" s="14"/>
      <c r="O286" s="14"/>
      <c r="P286" s="14"/>
      <c r="Q286" s="14"/>
      <c r="R286" s="14"/>
      <c r="S286" s="14"/>
    </row>
    <row r="287" ht="14.25" customHeight="1">
      <c r="N287" s="14"/>
      <c r="O287" s="14"/>
      <c r="P287" s="14"/>
      <c r="Q287" s="14"/>
      <c r="R287" s="14"/>
      <c r="S287" s="14"/>
    </row>
    <row r="288" ht="14.25" customHeight="1">
      <c r="N288" s="14"/>
      <c r="O288" s="14"/>
      <c r="P288" s="14"/>
      <c r="Q288" s="14"/>
      <c r="R288" s="14"/>
      <c r="S288" s="14"/>
    </row>
    <row r="289" ht="14.25" customHeight="1">
      <c r="N289" s="14"/>
      <c r="O289" s="14"/>
      <c r="P289" s="14"/>
      <c r="Q289" s="14"/>
      <c r="R289" s="14"/>
      <c r="S289" s="14"/>
    </row>
    <row r="290" ht="14.25" customHeight="1">
      <c r="N290" s="14"/>
      <c r="O290" s="14"/>
      <c r="P290" s="14"/>
      <c r="Q290" s="14"/>
      <c r="R290" s="14"/>
      <c r="S290" s="14"/>
    </row>
    <row r="291" ht="14.25" customHeight="1">
      <c r="N291" s="14"/>
      <c r="O291" s="14"/>
      <c r="P291" s="14"/>
      <c r="Q291" s="14"/>
      <c r="R291" s="14"/>
      <c r="S291" s="14"/>
    </row>
    <row r="292" ht="14.25" customHeight="1">
      <c r="N292" s="14"/>
      <c r="O292" s="14"/>
      <c r="P292" s="14"/>
      <c r="Q292" s="14"/>
      <c r="R292" s="14"/>
      <c r="S292" s="14"/>
    </row>
    <row r="293" ht="14.25" customHeight="1">
      <c r="N293" s="14"/>
      <c r="O293" s="14"/>
      <c r="P293" s="14"/>
      <c r="Q293" s="14"/>
      <c r="R293" s="14"/>
      <c r="S293" s="14"/>
    </row>
    <row r="294" ht="14.25" customHeight="1">
      <c r="N294" s="14"/>
      <c r="O294" s="14"/>
      <c r="P294" s="14"/>
      <c r="Q294" s="14"/>
      <c r="R294" s="14"/>
      <c r="S294" s="14"/>
    </row>
    <row r="295" ht="14.25" customHeight="1">
      <c r="N295" s="14"/>
      <c r="O295" s="14"/>
      <c r="P295" s="14"/>
      <c r="Q295" s="14"/>
      <c r="R295" s="14"/>
      <c r="S295" s="14"/>
    </row>
    <row r="296" ht="14.25" customHeight="1">
      <c r="N296" s="14"/>
      <c r="O296" s="14"/>
      <c r="P296" s="14"/>
      <c r="Q296" s="14"/>
      <c r="R296" s="14"/>
      <c r="S296" s="14"/>
    </row>
    <row r="297" ht="14.25" customHeight="1">
      <c r="N297" s="14"/>
      <c r="O297" s="14"/>
      <c r="P297" s="14"/>
      <c r="Q297" s="14"/>
      <c r="R297" s="14"/>
      <c r="S297" s="14"/>
    </row>
    <row r="298" ht="14.25" customHeight="1">
      <c r="N298" s="14"/>
      <c r="O298" s="14"/>
      <c r="P298" s="14"/>
      <c r="Q298" s="14"/>
      <c r="R298" s="14"/>
      <c r="S298" s="14"/>
    </row>
    <row r="299" ht="14.25" customHeight="1">
      <c r="N299" s="14"/>
      <c r="O299" s="14"/>
      <c r="P299" s="14"/>
      <c r="Q299" s="14"/>
      <c r="R299" s="14"/>
      <c r="S299" s="14"/>
    </row>
    <row r="300" ht="14.25" customHeight="1">
      <c r="N300" s="14"/>
      <c r="O300" s="14"/>
      <c r="P300" s="14"/>
      <c r="Q300" s="14"/>
      <c r="R300" s="14"/>
      <c r="S300" s="14"/>
    </row>
    <row r="301" ht="14.25" customHeight="1">
      <c r="N301" s="14"/>
      <c r="O301" s="14"/>
      <c r="P301" s="14"/>
      <c r="Q301" s="14"/>
      <c r="R301" s="14"/>
      <c r="S301" s="14"/>
    </row>
    <row r="302" ht="14.25" customHeight="1">
      <c r="N302" s="14"/>
      <c r="O302" s="14"/>
      <c r="P302" s="14"/>
      <c r="Q302" s="14"/>
      <c r="R302" s="14"/>
      <c r="S302" s="14"/>
    </row>
    <row r="303" ht="14.25" customHeight="1">
      <c r="N303" s="14"/>
      <c r="O303" s="14"/>
      <c r="P303" s="14"/>
      <c r="Q303" s="14"/>
      <c r="R303" s="14"/>
      <c r="S303" s="14"/>
    </row>
    <row r="304" ht="14.25" customHeight="1">
      <c r="N304" s="14"/>
      <c r="O304" s="14"/>
      <c r="P304" s="14"/>
      <c r="Q304" s="14"/>
      <c r="R304" s="14"/>
      <c r="S304" s="14"/>
    </row>
    <row r="305" ht="14.25" customHeight="1">
      <c r="N305" s="14"/>
      <c r="O305" s="14"/>
      <c r="P305" s="14"/>
      <c r="Q305" s="14"/>
      <c r="R305" s="14"/>
      <c r="S305" s="14"/>
    </row>
    <row r="306" ht="14.25" customHeight="1">
      <c r="N306" s="14"/>
      <c r="O306" s="14"/>
      <c r="P306" s="14"/>
      <c r="Q306" s="14"/>
      <c r="R306" s="14"/>
      <c r="S306" s="14"/>
    </row>
    <row r="307" ht="14.25" customHeight="1">
      <c r="N307" s="14"/>
      <c r="O307" s="14"/>
      <c r="P307" s="14"/>
      <c r="Q307" s="14"/>
      <c r="R307" s="14"/>
      <c r="S307" s="14"/>
    </row>
    <row r="308" ht="14.25" customHeight="1">
      <c r="N308" s="14"/>
      <c r="O308" s="14"/>
      <c r="P308" s="14"/>
      <c r="Q308" s="14"/>
      <c r="R308" s="14"/>
      <c r="S308" s="14"/>
    </row>
    <row r="309" ht="14.25" customHeight="1">
      <c r="N309" s="14"/>
      <c r="O309" s="14"/>
      <c r="P309" s="14"/>
      <c r="Q309" s="14"/>
      <c r="R309" s="14"/>
      <c r="S309" s="14"/>
    </row>
    <row r="310" ht="14.25" customHeight="1">
      <c r="N310" s="14"/>
      <c r="O310" s="14"/>
      <c r="P310" s="14"/>
      <c r="Q310" s="14"/>
      <c r="R310" s="14"/>
      <c r="S310" s="14"/>
    </row>
    <row r="311" ht="14.25" customHeight="1">
      <c r="N311" s="14"/>
      <c r="O311" s="14"/>
      <c r="P311" s="14"/>
      <c r="Q311" s="14"/>
      <c r="R311" s="14"/>
      <c r="S311" s="14"/>
    </row>
    <row r="312" ht="14.25" customHeight="1">
      <c r="N312" s="14"/>
      <c r="O312" s="14"/>
      <c r="P312" s="14"/>
      <c r="Q312" s="14"/>
      <c r="R312" s="14"/>
      <c r="S312" s="14"/>
    </row>
    <row r="313" ht="14.25" customHeight="1">
      <c r="N313" s="14"/>
      <c r="O313" s="14"/>
      <c r="P313" s="14"/>
      <c r="Q313" s="14"/>
      <c r="R313" s="14"/>
      <c r="S313" s="14"/>
    </row>
    <row r="314" ht="14.25" customHeight="1">
      <c r="N314" s="14"/>
      <c r="O314" s="14"/>
      <c r="P314" s="14"/>
      <c r="Q314" s="14"/>
      <c r="R314" s="14"/>
      <c r="S314" s="14"/>
    </row>
    <row r="315" ht="14.25" customHeight="1">
      <c r="N315" s="14"/>
      <c r="O315" s="14"/>
      <c r="P315" s="14"/>
      <c r="Q315" s="14"/>
      <c r="R315" s="14"/>
      <c r="S315" s="14"/>
    </row>
    <row r="316" ht="14.25" customHeight="1">
      <c r="N316" s="14"/>
      <c r="O316" s="14"/>
      <c r="P316" s="14"/>
      <c r="Q316" s="14"/>
      <c r="R316" s="14"/>
      <c r="S316" s="14"/>
    </row>
    <row r="317" ht="14.25" customHeight="1">
      <c r="N317" s="14"/>
      <c r="O317" s="14"/>
      <c r="P317" s="14"/>
      <c r="Q317" s="14"/>
      <c r="R317" s="14"/>
      <c r="S317" s="14"/>
    </row>
    <row r="318" ht="14.25" customHeight="1">
      <c r="N318" s="14"/>
      <c r="O318" s="14"/>
      <c r="P318" s="14"/>
      <c r="Q318" s="14"/>
      <c r="R318" s="14"/>
      <c r="S318" s="14"/>
    </row>
    <row r="319" ht="14.25" customHeight="1">
      <c r="N319" s="14"/>
      <c r="O319" s="14"/>
      <c r="P319" s="14"/>
      <c r="Q319" s="14"/>
      <c r="R319" s="14"/>
      <c r="S319" s="14"/>
    </row>
    <row r="320" ht="14.25" customHeight="1">
      <c r="N320" s="14"/>
      <c r="O320" s="14"/>
      <c r="P320" s="14"/>
      <c r="Q320" s="14"/>
      <c r="R320" s="14"/>
      <c r="S320" s="14"/>
    </row>
    <row r="321" ht="14.25" customHeight="1">
      <c r="N321" s="14"/>
      <c r="O321" s="14"/>
      <c r="P321" s="14"/>
      <c r="Q321" s="14"/>
      <c r="R321" s="14"/>
      <c r="S321" s="14"/>
    </row>
    <row r="322" ht="14.25" customHeight="1">
      <c r="N322" s="14"/>
      <c r="O322" s="14"/>
      <c r="P322" s="14"/>
      <c r="Q322" s="14"/>
      <c r="R322" s="14"/>
      <c r="S322" s="14"/>
    </row>
    <row r="323" ht="14.25" customHeight="1">
      <c r="N323" s="14"/>
      <c r="O323" s="14"/>
      <c r="P323" s="14"/>
      <c r="Q323" s="14"/>
      <c r="R323" s="14"/>
      <c r="S323" s="14"/>
    </row>
    <row r="324" ht="14.25" customHeight="1">
      <c r="N324" s="14"/>
      <c r="O324" s="14"/>
      <c r="P324" s="14"/>
      <c r="Q324" s="14"/>
      <c r="R324" s="14"/>
      <c r="S324" s="14"/>
    </row>
    <row r="325" ht="14.25" customHeight="1">
      <c r="N325" s="14"/>
      <c r="O325" s="14"/>
      <c r="P325" s="14"/>
      <c r="Q325" s="14"/>
      <c r="R325" s="14"/>
      <c r="S325" s="14"/>
    </row>
    <row r="326" ht="14.25" customHeight="1">
      <c r="N326" s="14"/>
      <c r="O326" s="14"/>
      <c r="P326" s="14"/>
      <c r="Q326" s="14"/>
      <c r="R326" s="14"/>
      <c r="S326" s="14"/>
    </row>
    <row r="327" ht="14.25" customHeight="1">
      <c r="N327" s="14"/>
      <c r="O327" s="14"/>
      <c r="P327" s="14"/>
      <c r="Q327" s="14"/>
      <c r="R327" s="14"/>
      <c r="S327" s="14"/>
    </row>
    <row r="328" ht="14.25" customHeight="1">
      <c r="N328" s="14"/>
      <c r="O328" s="14"/>
      <c r="P328" s="14"/>
      <c r="Q328" s="14"/>
      <c r="R328" s="14"/>
      <c r="S328" s="14"/>
    </row>
    <row r="329" ht="14.25" customHeight="1">
      <c r="N329" s="14"/>
      <c r="O329" s="14"/>
      <c r="P329" s="14"/>
      <c r="Q329" s="14"/>
      <c r="R329" s="14"/>
      <c r="S329" s="14"/>
    </row>
    <row r="330" ht="14.25" customHeight="1">
      <c r="N330" s="14"/>
      <c r="O330" s="14"/>
      <c r="P330" s="14"/>
      <c r="Q330" s="14"/>
      <c r="R330" s="14"/>
      <c r="S330" s="14"/>
    </row>
    <row r="331" ht="14.25" customHeight="1">
      <c r="N331" s="14"/>
      <c r="O331" s="14"/>
      <c r="P331" s="14"/>
      <c r="Q331" s="14"/>
      <c r="R331" s="14"/>
      <c r="S331" s="14"/>
    </row>
    <row r="332" ht="14.25" customHeight="1">
      <c r="N332" s="14"/>
      <c r="O332" s="14"/>
      <c r="P332" s="14"/>
      <c r="Q332" s="14"/>
      <c r="R332" s="14"/>
      <c r="S332" s="14"/>
    </row>
    <row r="333" ht="14.25" customHeight="1">
      <c r="N333" s="14"/>
      <c r="O333" s="14"/>
      <c r="P333" s="14"/>
      <c r="Q333" s="14"/>
      <c r="R333" s="14"/>
      <c r="S333" s="14"/>
    </row>
    <row r="334" ht="14.25" customHeight="1">
      <c r="N334" s="14"/>
      <c r="O334" s="14"/>
      <c r="P334" s="14"/>
      <c r="Q334" s="14"/>
      <c r="R334" s="14"/>
      <c r="S334" s="14"/>
    </row>
    <row r="335" ht="14.25" customHeight="1">
      <c r="N335" s="14"/>
      <c r="O335" s="14"/>
      <c r="P335" s="14"/>
      <c r="Q335" s="14"/>
      <c r="R335" s="14"/>
      <c r="S335" s="14"/>
    </row>
    <row r="336" ht="14.25" customHeight="1">
      <c r="N336" s="14"/>
      <c r="O336" s="14"/>
      <c r="P336" s="14"/>
      <c r="Q336" s="14"/>
      <c r="R336" s="14"/>
      <c r="S336" s="14"/>
    </row>
    <row r="337" ht="14.25" customHeight="1">
      <c r="N337" s="14"/>
      <c r="O337" s="14"/>
      <c r="P337" s="14"/>
      <c r="Q337" s="14"/>
      <c r="R337" s="14"/>
      <c r="S337" s="14"/>
    </row>
    <row r="338" ht="14.25" customHeight="1">
      <c r="N338" s="14"/>
      <c r="O338" s="14"/>
      <c r="P338" s="14"/>
      <c r="Q338" s="14"/>
      <c r="R338" s="14"/>
      <c r="S338" s="14"/>
    </row>
    <row r="339" ht="14.25" customHeight="1">
      <c r="N339" s="14"/>
      <c r="O339" s="14"/>
      <c r="P339" s="14"/>
      <c r="Q339" s="14"/>
      <c r="R339" s="14"/>
      <c r="S339" s="14"/>
    </row>
    <row r="340" ht="14.25" customHeight="1">
      <c r="N340" s="14"/>
      <c r="O340" s="14"/>
      <c r="P340" s="14"/>
      <c r="Q340" s="14"/>
      <c r="R340" s="14"/>
      <c r="S340" s="14"/>
    </row>
    <row r="341" ht="14.25" customHeight="1">
      <c r="N341" s="14"/>
      <c r="O341" s="14"/>
      <c r="P341" s="14"/>
      <c r="Q341" s="14"/>
      <c r="R341" s="14"/>
      <c r="S341" s="14"/>
    </row>
    <row r="342" ht="14.25" customHeight="1">
      <c r="N342" s="14"/>
      <c r="O342" s="14"/>
      <c r="P342" s="14"/>
      <c r="Q342" s="14"/>
      <c r="R342" s="14"/>
      <c r="S342" s="14"/>
    </row>
    <row r="343" ht="14.25" customHeight="1">
      <c r="N343" s="14"/>
      <c r="O343" s="14"/>
      <c r="P343" s="14"/>
      <c r="Q343" s="14"/>
      <c r="R343" s="14"/>
      <c r="S343" s="14"/>
    </row>
    <row r="344" ht="14.25" customHeight="1">
      <c r="N344" s="14"/>
      <c r="O344" s="14"/>
      <c r="P344" s="14"/>
      <c r="Q344" s="14"/>
      <c r="R344" s="14"/>
      <c r="S344" s="14"/>
    </row>
    <row r="345" ht="14.25" customHeight="1">
      <c r="N345" s="14"/>
      <c r="O345" s="14"/>
      <c r="P345" s="14"/>
      <c r="Q345" s="14"/>
      <c r="R345" s="14"/>
      <c r="S345" s="14"/>
    </row>
    <row r="346" ht="14.25" customHeight="1">
      <c r="N346" s="14"/>
      <c r="O346" s="14"/>
      <c r="P346" s="14"/>
      <c r="Q346" s="14"/>
      <c r="R346" s="14"/>
      <c r="S346" s="14"/>
    </row>
    <row r="347" ht="14.25" customHeight="1">
      <c r="N347" s="14"/>
      <c r="O347" s="14"/>
      <c r="P347" s="14"/>
      <c r="Q347" s="14"/>
      <c r="R347" s="14"/>
      <c r="S347" s="14"/>
    </row>
    <row r="348" ht="14.25" customHeight="1">
      <c r="N348" s="14"/>
      <c r="O348" s="14"/>
      <c r="P348" s="14"/>
      <c r="Q348" s="14"/>
      <c r="R348" s="14"/>
      <c r="S348" s="14"/>
    </row>
    <row r="349" ht="14.25" customHeight="1">
      <c r="N349" s="14"/>
      <c r="O349" s="14"/>
      <c r="P349" s="14"/>
      <c r="Q349" s="14"/>
      <c r="R349" s="14"/>
      <c r="S349" s="14"/>
    </row>
    <row r="350" ht="14.25" customHeight="1">
      <c r="N350" s="14"/>
      <c r="O350" s="14"/>
      <c r="P350" s="14"/>
      <c r="Q350" s="14"/>
      <c r="R350" s="14"/>
      <c r="S350" s="14"/>
    </row>
    <row r="351" ht="14.25" customHeight="1">
      <c r="N351" s="14"/>
      <c r="O351" s="14"/>
      <c r="P351" s="14"/>
      <c r="Q351" s="14"/>
      <c r="R351" s="14"/>
      <c r="S351" s="14"/>
    </row>
    <row r="352" ht="14.25" customHeight="1">
      <c r="N352" s="14"/>
      <c r="O352" s="14"/>
      <c r="P352" s="14"/>
      <c r="Q352" s="14"/>
      <c r="R352" s="14"/>
      <c r="S352" s="14"/>
    </row>
    <row r="353" ht="14.25" customHeight="1">
      <c r="N353" s="14"/>
      <c r="O353" s="14"/>
      <c r="P353" s="14"/>
      <c r="Q353" s="14"/>
      <c r="R353" s="14"/>
      <c r="S353" s="14"/>
    </row>
    <row r="354" ht="14.25" customHeight="1">
      <c r="N354" s="14"/>
      <c r="O354" s="14"/>
      <c r="P354" s="14"/>
      <c r="Q354" s="14"/>
      <c r="R354" s="14"/>
      <c r="S354" s="14"/>
    </row>
    <row r="355" ht="14.25" customHeight="1">
      <c r="N355" s="14"/>
      <c r="O355" s="14"/>
      <c r="P355" s="14"/>
      <c r="Q355" s="14"/>
      <c r="R355" s="14"/>
      <c r="S355" s="14"/>
    </row>
    <row r="356" ht="14.25" customHeight="1">
      <c r="N356" s="14"/>
      <c r="O356" s="14"/>
      <c r="P356" s="14"/>
      <c r="Q356" s="14"/>
      <c r="R356" s="14"/>
      <c r="S356" s="14"/>
    </row>
    <row r="357" ht="14.25" customHeight="1">
      <c r="N357" s="14"/>
      <c r="O357" s="14"/>
      <c r="P357" s="14"/>
      <c r="Q357" s="14"/>
      <c r="R357" s="14"/>
      <c r="S357" s="14"/>
    </row>
    <row r="358" ht="14.25" customHeight="1">
      <c r="N358" s="14"/>
      <c r="O358" s="14"/>
      <c r="P358" s="14"/>
      <c r="Q358" s="14"/>
      <c r="R358" s="14"/>
      <c r="S358" s="14"/>
    </row>
    <row r="359" ht="14.25" customHeight="1">
      <c r="N359" s="14"/>
      <c r="O359" s="14"/>
      <c r="P359" s="14"/>
      <c r="Q359" s="14"/>
      <c r="R359" s="14"/>
      <c r="S359" s="14"/>
    </row>
    <row r="360" ht="14.25" customHeight="1">
      <c r="N360" s="14"/>
      <c r="O360" s="14"/>
      <c r="P360" s="14"/>
      <c r="Q360" s="14"/>
      <c r="R360" s="14"/>
      <c r="S360" s="14"/>
    </row>
    <row r="361" ht="14.25" customHeight="1">
      <c r="N361" s="14"/>
      <c r="O361" s="14"/>
      <c r="P361" s="14"/>
      <c r="Q361" s="14"/>
      <c r="R361" s="14"/>
      <c r="S361" s="14"/>
    </row>
    <row r="362" ht="14.25" customHeight="1">
      <c r="N362" s="14"/>
      <c r="O362" s="14"/>
      <c r="P362" s="14"/>
      <c r="Q362" s="14"/>
      <c r="R362" s="14"/>
      <c r="S362" s="14"/>
    </row>
    <row r="363" ht="14.25" customHeight="1">
      <c r="N363" s="14"/>
      <c r="O363" s="14"/>
      <c r="P363" s="14"/>
      <c r="Q363" s="14"/>
      <c r="R363" s="14"/>
      <c r="S363" s="14"/>
    </row>
    <row r="364" ht="14.25" customHeight="1">
      <c r="N364" s="14"/>
      <c r="O364" s="14"/>
      <c r="P364" s="14"/>
      <c r="Q364" s="14"/>
      <c r="R364" s="14"/>
      <c r="S364" s="14"/>
    </row>
    <row r="365" ht="14.25" customHeight="1">
      <c r="N365" s="14"/>
      <c r="O365" s="14"/>
      <c r="P365" s="14"/>
      <c r="Q365" s="14"/>
      <c r="R365" s="14"/>
      <c r="S365" s="14"/>
    </row>
    <row r="366" ht="14.25" customHeight="1">
      <c r="N366" s="14"/>
      <c r="O366" s="14"/>
      <c r="P366" s="14"/>
      <c r="Q366" s="14"/>
      <c r="R366" s="14"/>
      <c r="S366" s="14"/>
    </row>
    <row r="367" ht="14.25" customHeight="1">
      <c r="N367" s="14"/>
      <c r="O367" s="14"/>
      <c r="P367" s="14"/>
      <c r="Q367" s="14"/>
      <c r="R367" s="14"/>
      <c r="S367" s="14"/>
    </row>
    <row r="368" ht="14.25" customHeight="1">
      <c r="N368" s="14"/>
      <c r="O368" s="14"/>
      <c r="P368" s="14"/>
      <c r="Q368" s="14"/>
      <c r="R368" s="14"/>
      <c r="S368" s="14"/>
    </row>
    <row r="369" ht="14.25" customHeight="1">
      <c r="N369" s="14"/>
      <c r="O369" s="14"/>
      <c r="P369" s="14"/>
      <c r="Q369" s="14"/>
      <c r="R369" s="14"/>
      <c r="S369" s="14"/>
    </row>
    <row r="370" ht="14.25" customHeight="1">
      <c r="N370" s="14"/>
      <c r="O370" s="14"/>
      <c r="P370" s="14"/>
      <c r="Q370" s="14"/>
      <c r="R370" s="14"/>
      <c r="S370" s="14"/>
    </row>
    <row r="371" ht="14.25" customHeight="1">
      <c r="N371" s="14"/>
      <c r="O371" s="14"/>
      <c r="P371" s="14"/>
      <c r="Q371" s="14"/>
      <c r="R371" s="14"/>
      <c r="S371" s="14"/>
    </row>
    <row r="372" ht="14.25" customHeight="1">
      <c r="N372" s="14"/>
      <c r="O372" s="14"/>
      <c r="P372" s="14"/>
      <c r="Q372" s="14"/>
      <c r="R372" s="14"/>
      <c r="S372" s="14"/>
    </row>
    <row r="373" ht="14.25" customHeight="1">
      <c r="N373" s="14"/>
      <c r="O373" s="14"/>
      <c r="P373" s="14"/>
      <c r="Q373" s="14"/>
      <c r="R373" s="14"/>
      <c r="S373" s="14"/>
    </row>
    <row r="374" ht="14.25" customHeight="1">
      <c r="N374" s="14"/>
      <c r="O374" s="14"/>
      <c r="P374" s="14"/>
      <c r="Q374" s="14"/>
      <c r="R374" s="14"/>
      <c r="S374" s="14"/>
    </row>
    <row r="375" ht="14.25" customHeight="1">
      <c r="N375" s="14"/>
      <c r="O375" s="14"/>
      <c r="P375" s="14"/>
      <c r="Q375" s="14"/>
      <c r="R375" s="14"/>
      <c r="S375" s="14"/>
    </row>
    <row r="376" ht="14.25" customHeight="1">
      <c r="N376" s="14"/>
      <c r="O376" s="14"/>
      <c r="P376" s="14"/>
      <c r="Q376" s="14"/>
      <c r="R376" s="14"/>
      <c r="S376" s="14"/>
    </row>
    <row r="377" ht="14.25" customHeight="1">
      <c r="N377" s="14"/>
      <c r="O377" s="14"/>
      <c r="P377" s="14"/>
      <c r="Q377" s="14"/>
      <c r="R377" s="14"/>
      <c r="S377" s="14"/>
    </row>
    <row r="378" ht="14.25" customHeight="1">
      <c r="N378" s="14"/>
      <c r="O378" s="14"/>
      <c r="P378" s="14"/>
      <c r="Q378" s="14"/>
      <c r="R378" s="14"/>
      <c r="S378" s="14"/>
    </row>
    <row r="379" ht="14.25" customHeight="1">
      <c r="N379" s="14"/>
      <c r="O379" s="14"/>
      <c r="P379" s="14"/>
      <c r="Q379" s="14"/>
      <c r="R379" s="14"/>
      <c r="S379" s="14"/>
    </row>
    <row r="380" ht="14.25" customHeight="1">
      <c r="N380" s="14"/>
      <c r="O380" s="14"/>
      <c r="P380" s="14"/>
      <c r="Q380" s="14"/>
      <c r="R380" s="14"/>
      <c r="S380" s="14"/>
    </row>
    <row r="381" ht="14.25" customHeight="1">
      <c r="N381" s="14"/>
      <c r="O381" s="14"/>
      <c r="P381" s="14"/>
      <c r="Q381" s="14"/>
      <c r="R381" s="14"/>
      <c r="S381" s="14"/>
    </row>
    <row r="382" ht="14.25" customHeight="1">
      <c r="N382" s="14"/>
      <c r="O382" s="14"/>
      <c r="P382" s="14"/>
      <c r="Q382" s="14"/>
      <c r="R382" s="14"/>
      <c r="S382" s="14"/>
    </row>
    <row r="383" ht="14.25" customHeight="1">
      <c r="N383" s="14"/>
      <c r="O383" s="14"/>
      <c r="P383" s="14"/>
      <c r="Q383" s="14"/>
      <c r="R383" s="14"/>
      <c r="S383" s="14"/>
    </row>
    <row r="384" ht="14.25" customHeight="1">
      <c r="N384" s="14"/>
      <c r="O384" s="14"/>
      <c r="P384" s="14"/>
      <c r="Q384" s="14"/>
      <c r="R384" s="14"/>
      <c r="S384" s="14"/>
    </row>
    <row r="385" ht="14.25" customHeight="1">
      <c r="N385" s="14"/>
      <c r="O385" s="14"/>
      <c r="P385" s="14"/>
      <c r="Q385" s="14"/>
      <c r="R385" s="14"/>
      <c r="S385" s="14"/>
    </row>
    <row r="386" ht="14.25" customHeight="1">
      <c r="N386" s="14"/>
      <c r="O386" s="14"/>
      <c r="P386" s="14"/>
      <c r="Q386" s="14"/>
      <c r="R386" s="14"/>
      <c r="S386" s="14"/>
    </row>
    <row r="387" ht="14.25" customHeight="1">
      <c r="N387" s="14"/>
      <c r="O387" s="14"/>
      <c r="P387" s="14"/>
      <c r="Q387" s="14"/>
      <c r="R387" s="14"/>
      <c r="S387" s="14"/>
    </row>
    <row r="388" ht="14.25" customHeight="1">
      <c r="N388" s="14"/>
      <c r="O388" s="14"/>
      <c r="P388" s="14"/>
      <c r="Q388" s="14"/>
      <c r="R388" s="14"/>
      <c r="S388" s="14"/>
    </row>
    <row r="389" ht="14.25" customHeight="1">
      <c r="N389" s="14"/>
      <c r="O389" s="14"/>
      <c r="P389" s="14"/>
      <c r="Q389" s="14"/>
      <c r="R389" s="14"/>
      <c r="S389" s="14"/>
    </row>
    <row r="390" ht="14.25" customHeight="1">
      <c r="N390" s="14"/>
      <c r="O390" s="14"/>
      <c r="P390" s="14"/>
      <c r="Q390" s="14"/>
      <c r="R390" s="14"/>
      <c r="S390" s="14"/>
    </row>
    <row r="391" ht="14.25" customHeight="1">
      <c r="N391" s="14"/>
      <c r="O391" s="14"/>
      <c r="P391" s="14"/>
      <c r="Q391" s="14"/>
      <c r="R391" s="14"/>
      <c r="S391" s="14"/>
    </row>
    <row r="392" ht="14.25" customHeight="1">
      <c r="N392" s="14"/>
      <c r="O392" s="14"/>
      <c r="P392" s="14"/>
      <c r="Q392" s="14"/>
      <c r="R392" s="14"/>
      <c r="S392" s="14"/>
    </row>
    <row r="393" ht="14.25" customHeight="1">
      <c r="N393" s="14"/>
      <c r="O393" s="14"/>
      <c r="P393" s="14"/>
      <c r="Q393" s="14"/>
      <c r="R393" s="14"/>
      <c r="S393" s="14"/>
    </row>
    <row r="394" ht="14.25" customHeight="1">
      <c r="N394" s="14"/>
      <c r="O394" s="14"/>
      <c r="P394" s="14"/>
      <c r="Q394" s="14"/>
      <c r="R394" s="14"/>
      <c r="S394" s="14"/>
    </row>
    <row r="395" ht="14.25" customHeight="1">
      <c r="N395" s="14"/>
      <c r="O395" s="14"/>
      <c r="P395" s="14"/>
      <c r="Q395" s="14"/>
      <c r="R395" s="14"/>
      <c r="S395" s="14"/>
    </row>
    <row r="396" ht="14.25" customHeight="1">
      <c r="N396" s="14"/>
      <c r="O396" s="14"/>
      <c r="P396" s="14"/>
      <c r="Q396" s="14"/>
      <c r="R396" s="14"/>
      <c r="S396" s="14"/>
    </row>
    <row r="397" ht="14.25" customHeight="1">
      <c r="N397" s="14"/>
      <c r="O397" s="14"/>
      <c r="P397" s="14"/>
      <c r="Q397" s="14"/>
      <c r="R397" s="14"/>
      <c r="S397" s="14"/>
    </row>
    <row r="398" ht="14.25" customHeight="1">
      <c r="N398" s="14"/>
      <c r="O398" s="14"/>
      <c r="P398" s="14"/>
      <c r="Q398" s="14"/>
      <c r="R398" s="14"/>
      <c r="S398" s="14"/>
    </row>
    <row r="399" ht="14.25" customHeight="1">
      <c r="N399" s="14"/>
      <c r="O399" s="14"/>
      <c r="P399" s="14"/>
      <c r="Q399" s="14"/>
      <c r="R399" s="14"/>
      <c r="S399" s="14"/>
    </row>
    <row r="400" ht="14.25" customHeight="1">
      <c r="N400" s="14"/>
      <c r="O400" s="14"/>
      <c r="P400" s="14"/>
      <c r="Q400" s="14"/>
      <c r="R400" s="14"/>
      <c r="S400" s="14"/>
    </row>
    <row r="401" ht="14.25" customHeight="1">
      <c r="N401" s="14"/>
      <c r="O401" s="14"/>
      <c r="P401" s="14"/>
      <c r="Q401" s="14"/>
      <c r="R401" s="14"/>
      <c r="S401" s="14"/>
    </row>
    <row r="402" ht="14.25" customHeight="1">
      <c r="N402" s="14"/>
      <c r="O402" s="14"/>
      <c r="P402" s="14"/>
      <c r="Q402" s="14"/>
      <c r="R402" s="14"/>
      <c r="S402" s="14"/>
    </row>
    <row r="403" ht="14.25" customHeight="1">
      <c r="N403" s="14"/>
      <c r="O403" s="14"/>
      <c r="P403" s="14"/>
      <c r="Q403" s="14"/>
      <c r="R403" s="14"/>
      <c r="S403" s="14"/>
    </row>
    <row r="404" ht="14.25" customHeight="1">
      <c r="N404" s="14"/>
      <c r="O404" s="14"/>
      <c r="P404" s="14"/>
      <c r="Q404" s="14"/>
      <c r="R404" s="14"/>
      <c r="S404" s="14"/>
    </row>
    <row r="405" ht="14.25" customHeight="1">
      <c r="N405" s="14"/>
      <c r="O405" s="14"/>
      <c r="P405" s="14"/>
      <c r="Q405" s="14"/>
      <c r="R405" s="14"/>
      <c r="S405" s="14"/>
    </row>
    <row r="406" ht="14.25" customHeight="1">
      <c r="N406" s="14"/>
      <c r="O406" s="14"/>
      <c r="P406" s="14"/>
      <c r="Q406" s="14"/>
      <c r="R406" s="14"/>
      <c r="S406" s="14"/>
    </row>
    <row r="407" ht="14.25" customHeight="1">
      <c r="N407" s="14"/>
      <c r="O407" s="14"/>
      <c r="P407" s="14"/>
      <c r="Q407" s="14"/>
      <c r="R407" s="14"/>
      <c r="S407" s="14"/>
    </row>
    <row r="408" ht="14.25" customHeight="1">
      <c r="N408" s="14"/>
      <c r="O408" s="14"/>
      <c r="P408" s="14"/>
      <c r="Q408" s="14"/>
      <c r="R408" s="14"/>
      <c r="S408" s="14"/>
    </row>
    <row r="409" ht="14.25" customHeight="1">
      <c r="N409" s="14"/>
      <c r="O409" s="14"/>
      <c r="P409" s="14"/>
      <c r="Q409" s="14"/>
      <c r="R409" s="14"/>
      <c r="S409" s="14"/>
    </row>
    <row r="410" ht="14.25" customHeight="1">
      <c r="N410" s="14"/>
      <c r="O410" s="14"/>
      <c r="P410" s="14"/>
      <c r="Q410" s="14"/>
      <c r="R410" s="14"/>
      <c r="S410" s="14"/>
    </row>
    <row r="411" ht="14.25" customHeight="1">
      <c r="N411" s="14"/>
      <c r="O411" s="14"/>
      <c r="P411" s="14"/>
      <c r="Q411" s="14"/>
      <c r="R411" s="14"/>
      <c r="S411" s="14"/>
    </row>
    <row r="412" ht="14.25" customHeight="1">
      <c r="N412" s="14"/>
      <c r="O412" s="14"/>
      <c r="P412" s="14"/>
      <c r="Q412" s="14"/>
      <c r="R412" s="14"/>
      <c r="S412" s="14"/>
    </row>
    <row r="413" ht="14.25" customHeight="1">
      <c r="N413" s="14"/>
      <c r="O413" s="14"/>
      <c r="P413" s="14"/>
      <c r="Q413" s="14"/>
      <c r="R413" s="14"/>
      <c r="S413" s="14"/>
    </row>
    <row r="414" ht="14.25" customHeight="1">
      <c r="N414" s="14"/>
      <c r="O414" s="14"/>
      <c r="P414" s="14"/>
      <c r="Q414" s="14"/>
      <c r="R414" s="14"/>
      <c r="S414" s="14"/>
    </row>
    <row r="415" ht="14.25" customHeight="1">
      <c r="N415" s="14"/>
      <c r="O415" s="14"/>
      <c r="P415" s="14"/>
      <c r="Q415" s="14"/>
      <c r="R415" s="14"/>
      <c r="S415" s="14"/>
    </row>
    <row r="416" ht="14.25" customHeight="1">
      <c r="N416" s="14"/>
      <c r="O416" s="14"/>
      <c r="P416" s="14"/>
      <c r="Q416" s="14"/>
      <c r="R416" s="14"/>
      <c r="S416" s="14"/>
    </row>
    <row r="417" ht="14.25" customHeight="1">
      <c r="N417" s="14"/>
      <c r="O417" s="14"/>
      <c r="P417" s="14"/>
      <c r="Q417" s="14"/>
      <c r="R417" s="14"/>
      <c r="S417" s="14"/>
    </row>
    <row r="418" ht="14.25" customHeight="1">
      <c r="N418" s="14"/>
      <c r="O418" s="14"/>
      <c r="P418" s="14"/>
      <c r="Q418" s="14"/>
      <c r="R418" s="14"/>
      <c r="S418" s="14"/>
    </row>
    <row r="419" ht="14.25" customHeight="1">
      <c r="N419" s="14"/>
      <c r="O419" s="14"/>
      <c r="P419" s="14"/>
      <c r="Q419" s="14"/>
      <c r="R419" s="14"/>
      <c r="S419" s="14"/>
    </row>
    <row r="420" ht="14.25" customHeight="1">
      <c r="N420" s="14"/>
      <c r="O420" s="14"/>
      <c r="P420" s="14"/>
      <c r="Q420" s="14"/>
      <c r="R420" s="14"/>
      <c r="S420" s="14"/>
    </row>
    <row r="421" ht="14.25" customHeight="1">
      <c r="N421" s="14"/>
      <c r="O421" s="14"/>
      <c r="P421" s="14"/>
      <c r="Q421" s="14"/>
      <c r="R421" s="14"/>
      <c r="S421" s="14"/>
    </row>
    <row r="422" ht="14.25" customHeight="1">
      <c r="N422" s="14"/>
      <c r="O422" s="14"/>
      <c r="P422" s="14"/>
      <c r="Q422" s="14"/>
      <c r="R422" s="14"/>
      <c r="S422" s="14"/>
    </row>
    <row r="423" ht="14.25" customHeight="1">
      <c r="N423" s="14"/>
      <c r="O423" s="14"/>
      <c r="P423" s="14"/>
      <c r="Q423" s="14"/>
      <c r="R423" s="14"/>
      <c r="S423" s="14"/>
    </row>
    <row r="424" ht="14.25" customHeight="1">
      <c r="N424" s="14"/>
      <c r="O424" s="14"/>
      <c r="P424" s="14"/>
      <c r="Q424" s="14"/>
      <c r="R424" s="14"/>
      <c r="S424" s="14"/>
    </row>
    <row r="425" ht="14.25" customHeight="1">
      <c r="N425" s="14"/>
      <c r="O425" s="14"/>
      <c r="P425" s="14"/>
      <c r="Q425" s="14"/>
      <c r="R425" s="14"/>
      <c r="S425" s="14"/>
    </row>
    <row r="426" ht="14.25" customHeight="1">
      <c r="N426" s="14"/>
      <c r="O426" s="14"/>
      <c r="P426" s="14"/>
      <c r="Q426" s="14"/>
      <c r="R426" s="14"/>
      <c r="S426" s="14"/>
    </row>
    <row r="427" ht="14.25" customHeight="1">
      <c r="N427" s="14"/>
      <c r="O427" s="14"/>
      <c r="P427" s="14"/>
      <c r="Q427" s="14"/>
      <c r="R427" s="14"/>
      <c r="S427" s="14"/>
    </row>
    <row r="428" ht="14.25" customHeight="1">
      <c r="N428" s="14"/>
      <c r="O428" s="14"/>
      <c r="P428" s="14"/>
      <c r="Q428" s="14"/>
      <c r="R428" s="14"/>
      <c r="S428" s="14"/>
    </row>
    <row r="429" ht="14.25" customHeight="1">
      <c r="N429" s="14"/>
      <c r="O429" s="14"/>
      <c r="P429" s="14"/>
      <c r="Q429" s="14"/>
      <c r="R429" s="14"/>
      <c r="S429" s="14"/>
    </row>
    <row r="430" ht="14.25" customHeight="1">
      <c r="N430" s="14"/>
      <c r="O430" s="14"/>
      <c r="P430" s="14"/>
      <c r="Q430" s="14"/>
      <c r="R430" s="14"/>
      <c r="S430" s="14"/>
    </row>
    <row r="431" ht="14.25" customHeight="1">
      <c r="N431" s="14"/>
      <c r="O431" s="14"/>
      <c r="P431" s="14"/>
      <c r="Q431" s="14"/>
      <c r="R431" s="14"/>
      <c r="S431" s="14"/>
    </row>
    <row r="432" ht="14.25" customHeight="1">
      <c r="N432" s="14"/>
      <c r="O432" s="14"/>
      <c r="P432" s="14"/>
      <c r="Q432" s="14"/>
      <c r="R432" s="14"/>
      <c r="S432" s="14"/>
    </row>
    <row r="433" ht="14.25" customHeight="1">
      <c r="N433" s="14"/>
      <c r="O433" s="14"/>
      <c r="P433" s="14"/>
      <c r="Q433" s="14"/>
      <c r="R433" s="14"/>
      <c r="S433" s="14"/>
    </row>
    <row r="434" ht="14.25" customHeight="1">
      <c r="N434" s="14"/>
      <c r="O434" s="14"/>
      <c r="P434" s="14"/>
      <c r="Q434" s="14"/>
      <c r="R434" s="14"/>
      <c r="S434" s="14"/>
    </row>
    <row r="435" ht="14.25" customHeight="1">
      <c r="N435" s="14"/>
      <c r="O435" s="14"/>
      <c r="P435" s="14"/>
      <c r="Q435" s="14"/>
      <c r="R435" s="14"/>
      <c r="S435" s="14"/>
    </row>
    <row r="436" ht="14.25" customHeight="1">
      <c r="N436" s="14"/>
      <c r="O436" s="14"/>
      <c r="P436" s="14"/>
      <c r="Q436" s="14"/>
      <c r="R436" s="14"/>
      <c r="S436" s="14"/>
    </row>
    <row r="437" ht="14.25" customHeight="1">
      <c r="N437" s="14"/>
      <c r="O437" s="14"/>
      <c r="P437" s="14"/>
      <c r="Q437" s="14"/>
      <c r="R437" s="14"/>
      <c r="S437" s="14"/>
    </row>
    <row r="438" ht="14.25" customHeight="1">
      <c r="N438" s="14"/>
      <c r="O438" s="14"/>
      <c r="P438" s="14"/>
      <c r="Q438" s="14"/>
      <c r="R438" s="14"/>
      <c r="S438" s="14"/>
    </row>
    <row r="439" ht="14.25" customHeight="1">
      <c r="N439" s="14"/>
      <c r="O439" s="14"/>
      <c r="P439" s="14"/>
      <c r="Q439" s="14"/>
      <c r="R439" s="14"/>
      <c r="S439" s="14"/>
    </row>
    <row r="440" ht="14.25" customHeight="1">
      <c r="N440" s="14"/>
      <c r="O440" s="14"/>
      <c r="P440" s="14"/>
      <c r="Q440" s="14"/>
      <c r="R440" s="14"/>
      <c r="S440" s="14"/>
    </row>
    <row r="441" ht="14.25" customHeight="1">
      <c r="N441" s="14"/>
      <c r="O441" s="14"/>
      <c r="P441" s="14"/>
      <c r="Q441" s="14"/>
      <c r="R441" s="14"/>
      <c r="S441" s="14"/>
    </row>
    <row r="442" ht="14.25" customHeight="1">
      <c r="N442" s="14"/>
      <c r="O442" s="14"/>
      <c r="P442" s="14"/>
      <c r="Q442" s="14"/>
      <c r="R442" s="14"/>
      <c r="S442" s="14"/>
    </row>
    <row r="443" ht="14.25" customHeight="1">
      <c r="N443" s="14"/>
      <c r="O443" s="14"/>
      <c r="P443" s="14"/>
      <c r="Q443" s="14"/>
      <c r="R443" s="14"/>
      <c r="S443" s="14"/>
    </row>
    <row r="444" ht="14.25" customHeight="1">
      <c r="N444" s="14"/>
      <c r="O444" s="14"/>
      <c r="P444" s="14"/>
      <c r="Q444" s="14"/>
      <c r="R444" s="14"/>
      <c r="S444" s="14"/>
    </row>
    <row r="445" ht="14.25" customHeight="1">
      <c r="N445" s="14"/>
      <c r="O445" s="14"/>
      <c r="P445" s="14"/>
      <c r="Q445" s="14"/>
      <c r="R445" s="14"/>
      <c r="S445" s="14"/>
    </row>
    <row r="446" ht="14.25" customHeight="1">
      <c r="N446" s="14"/>
      <c r="O446" s="14"/>
      <c r="P446" s="14"/>
      <c r="Q446" s="14"/>
      <c r="R446" s="14"/>
      <c r="S446" s="14"/>
    </row>
    <row r="447" ht="14.25" customHeight="1">
      <c r="N447" s="14"/>
      <c r="O447" s="14"/>
      <c r="P447" s="14"/>
      <c r="Q447" s="14"/>
      <c r="R447" s="14"/>
      <c r="S447" s="14"/>
    </row>
    <row r="448" ht="14.25" customHeight="1">
      <c r="N448" s="14"/>
      <c r="O448" s="14"/>
      <c r="P448" s="14"/>
      <c r="Q448" s="14"/>
      <c r="R448" s="14"/>
      <c r="S448" s="14"/>
    </row>
    <row r="449" ht="14.25" customHeight="1">
      <c r="N449" s="14"/>
      <c r="O449" s="14"/>
      <c r="P449" s="14"/>
      <c r="Q449" s="14"/>
      <c r="R449" s="14"/>
      <c r="S449" s="14"/>
    </row>
    <row r="450" ht="14.25" customHeight="1">
      <c r="N450" s="14"/>
      <c r="O450" s="14"/>
      <c r="P450" s="14"/>
      <c r="Q450" s="14"/>
      <c r="R450" s="14"/>
      <c r="S450" s="14"/>
    </row>
    <row r="451" ht="14.25" customHeight="1">
      <c r="N451" s="14"/>
      <c r="O451" s="14"/>
      <c r="P451" s="14"/>
      <c r="Q451" s="14"/>
      <c r="R451" s="14"/>
      <c r="S451" s="14"/>
    </row>
    <row r="452" ht="14.25" customHeight="1">
      <c r="N452" s="14"/>
      <c r="O452" s="14"/>
      <c r="P452" s="14"/>
      <c r="Q452" s="14"/>
      <c r="R452" s="14"/>
      <c r="S452" s="14"/>
    </row>
    <row r="453" ht="14.25" customHeight="1">
      <c r="N453" s="14"/>
      <c r="O453" s="14"/>
      <c r="P453" s="14"/>
      <c r="Q453" s="14"/>
      <c r="R453" s="14"/>
      <c r="S453" s="14"/>
    </row>
    <row r="454" ht="14.25" customHeight="1">
      <c r="N454" s="14"/>
      <c r="O454" s="14"/>
      <c r="P454" s="14"/>
      <c r="Q454" s="14"/>
      <c r="R454" s="14"/>
      <c r="S454" s="14"/>
    </row>
    <row r="455" ht="14.25" customHeight="1">
      <c r="N455" s="14"/>
      <c r="O455" s="14"/>
      <c r="P455" s="14"/>
      <c r="Q455" s="14"/>
      <c r="R455" s="14"/>
      <c r="S455" s="14"/>
    </row>
    <row r="456" ht="14.25" customHeight="1">
      <c r="N456" s="14"/>
      <c r="O456" s="14"/>
      <c r="P456" s="14"/>
      <c r="Q456" s="14"/>
      <c r="R456" s="14"/>
      <c r="S456" s="14"/>
    </row>
    <row r="457" ht="14.25" customHeight="1">
      <c r="N457" s="14"/>
      <c r="O457" s="14"/>
      <c r="P457" s="14"/>
      <c r="Q457" s="14"/>
      <c r="R457" s="14"/>
      <c r="S457" s="14"/>
    </row>
    <row r="458" ht="14.25" customHeight="1">
      <c r="N458" s="14"/>
      <c r="O458" s="14"/>
      <c r="P458" s="14"/>
      <c r="Q458" s="14"/>
      <c r="R458" s="14"/>
      <c r="S458" s="14"/>
    </row>
    <row r="459" ht="14.25" customHeight="1">
      <c r="N459" s="14"/>
      <c r="O459" s="14"/>
      <c r="P459" s="14"/>
      <c r="Q459" s="14"/>
      <c r="R459" s="14"/>
      <c r="S459" s="14"/>
    </row>
    <row r="460" ht="14.25" customHeight="1">
      <c r="N460" s="14"/>
      <c r="O460" s="14"/>
      <c r="P460" s="14"/>
      <c r="Q460" s="14"/>
      <c r="R460" s="14"/>
      <c r="S460" s="14"/>
    </row>
    <row r="461" ht="14.25" customHeight="1">
      <c r="N461" s="14"/>
      <c r="O461" s="14"/>
      <c r="P461" s="14"/>
      <c r="Q461" s="14"/>
      <c r="R461" s="14"/>
      <c r="S461" s="14"/>
    </row>
    <row r="462" ht="14.25" customHeight="1">
      <c r="N462" s="14"/>
      <c r="O462" s="14"/>
      <c r="P462" s="14"/>
      <c r="Q462" s="14"/>
      <c r="R462" s="14"/>
      <c r="S462" s="14"/>
    </row>
    <row r="463" ht="14.25" customHeight="1">
      <c r="N463" s="14"/>
      <c r="O463" s="14"/>
      <c r="P463" s="14"/>
      <c r="Q463" s="14"/>
      <c r="R463" s="14"/>
      <c r="S463" s="14"/>
    </row>
    <row r="464" ht="14.25" customHeight="1">
      <c r="N464" s="14"/>
      <c r="O464" s="14"/>
      <c r="P464" s="14"/>
      <c r="Q464" s="14"/>
      <c r="R464" s="14"/>
      <c r="S464" s="14"/>
    </row>
    <row r="465" ht="14.25" customHeight="1">
      <c r="N465" s="14"/>
      <c r="O465" s="14"/>
      <c r="P465" s="14"/>
      <c r="Q465" s="14"/>
      <c r="R465" s="14"/>
      <c r="S465" s="14"/>
    </row>
    <row r="466" ht="14.25" customHeight="1">
      <c r="N466" s="14"/>
      <c r="O466" s="14"/>
      <c r="P466" s="14"/>
      <c r="Q466" s="14"/>
      <c r="R466" s="14"/>
      <c r="S466" s="14"/>
    </row>
    <row r="467" ht="14.25" customHeight="1">
      <c r="N467" s="14"/>
      <c r="O467" s="14"/>
      <c r="P467" s="14"/>
      <c r="Q467" s="14"/>
      <c r="R467" s="14"/>
      <c r="S467" s="14"/>
    </row>
    <row r="468" ht="14.25" customHeight="1">
      <c r="N468" s="14"/>
      <c r="O468" s="14"/>
      <c r="P468" s="14"/>
      <c r="Q468" s="14"/>
      <c r="R468" s="14"/>
      <c r="S468" s="14"/>
    </row>
    <row r="469" ht="14.25" customHeight="1">
      <c r="N469" s="14"/>
      <c r="O469" s="14"/>
      <c r="P469" s="14"/>
      <c r="Q469" s="14"/>
      <c r="R469" s="14"/>
      <c r="S469" s="14"/>
    </row>
    <row r="470" ht="14.25" customHeight="1">
      <c r="N470" s="14"/>
      <c r="O470" s="14"/>
      <c r="P470" s="14"/>
      <c r="Q470" s="14"/>
      <c r="R470" s="14"/>
      <c r="S470" s="14"/>
    </row>
    <row r="471" ht="14.25" customHeight="1">
      <c r="N471" s="14"/>
      <c r="O471" s="14"/>
      <c r="P471" s="14"/>
      <c r="Q471" s="14"/>
      <c r="R471" s="14"/>
      <c r="S471" s="14"/>
    </row>
    <row r="472" ht="14.25" customHeight="1">
      <c r="N472" s="14"/>
      <c r="O472" s="14"/>
      <c r="P472" s="14"/>
      <c r="Q472" s="14"/>
      <c r="R472" s="14"/>
      <c r="S472" s="14"/>
    </row>
    <row r="473" ht="14.25" customHeight="1">
      <c r="N473" s="14"/>
      <c r="O473" s="14"/>
      <c r="P473" s="14"/>
      <c r="Q473" s="14"/>
      <c r="R473" s="14"/>
      <c r="S473" s="14"/>
    </row>
    <row r="474" ht="14.25" customHeight="1">
      <c r="N474" s="14"/>
      <c r="O474" s="14"/>
      <c r="P474" s="14"/>
      <c r="Q474" s="14"/>
      <c r="R474" s="14"/>
      <c r="S474" s="14"/>
    </row>
    <row r="475" ht="14.25" customHeight="1">
      <c r="N475" s="14"/>
      <c r="O475" s="14"/>
      <c r="P475" s="14"/>
      <c r="Q475" s="14"/>
      <c r="R475" s="14"/>
      <c r="S475" s="14"/>
    </row>
    <row r="476" ht="14.25" customHeight="1">
      <c r="N476" s="14"/>
      <c r="O476" s="14"/>
      <c r="P476" s="14"/>
      <c r="Q476" s="14"/>
      <c r="R476" s="14"/>
      <c r="S476" s="14"/>
    </row>
    <row r="477" ht="14.25" customHeight="1">
      <c r="N477" s="14"/>
      <c r="O477" s="14"/>
      <c r="P477" s="14"/>
      <c r="Q477" s="14"/>
      <c r="R477" s="14"/>
      <c r="S477" s="14"/>
    </row>
    <row r="478" ht="14.25" customHeight="1">
      <c r="N478" s="14"/>
      <c r="O478" s="14"/>
      <c r="P478" s="14"/>
      <c r="Q478" s="14"/>
      <c r="R478" s="14"/>
      <c r="S478" s="14"/>
    </row>
    <row r="479" ht="14.25" customHeight="1">
      <c r="N479" s="14"/>
      <c r="O479" s="14"/>
      <c r="P479" s="14"/>
      <c r="Q479" s="14"/>
      <c r="R479" s="14"/>
      <c r="S479" s="14"/>
    </row>
    <row r="480" ht="14.25" customHeight="1">
      <c r="N480" s="14"/>
      <c r="O480" s="14"/>
      <c r="P480" s="14"/>
      <c r="Q480" s="14"/>
      <c r="R480" s="14"/>
      <c r="S480" s="14"/>
    </row>
    <row r="481" ht="14.25" customHeight="1">
      <c r="N481" s="14"/>
      <c r="O481" s="14"/>
      <c r="P481" s="14"/>
      <c r="Q481" s="14"/>
      <c r="R481" s="14"/>
      <c r="S481" s="14"/>
    </row>
    <row r="482" ht="14.25" customHeight="1">
      <c r="N482" s="14"/>
      <c r="O482" s="14"/>
      <c r="P482" s="14"/>
      <c r="Q482" s="14"/>
      <c r="R482" s="14"/>
      <c r="S482" s="14"/>
    </row>
    <row r="483" ht="14.25" customHeight="1">
      <c r="N483" s="14"/>
      <c r="O483" s="14"/>
      <c r="P483" s="14"/>
      <c r="Q483" s="14"/>
      <c r="R483" s="14"/>
      <c r="S483" s="14"/>
    </row>
    <row r="484" ht="14.25" customHeight="1">
      <c r="N484" s="14"/>
      <c r="O484" s="14"/>
      <c r="P484" s="14"/>
      <c r="Q484" s="14"/>
      <c r="R484" s="14"/>
      <c r="S484" s="14"/>
    </row>
    <row r="485" ht="14.25" customHeight="1">
      <c r="N485" s="14"/>
      <c r="O485" s="14"/>
      <c r="P485" s="14"/>
      <c r="Q485" s="14"/>
      <c r="R485" s="14"/>
      <c r="S485" s="14"/>
    </row>
    <row r="486" ht="14.25" customHeight="1">
      <c r="N486" s="14"/>
      <c r="O486" s="14"/>
      <c r="P486" s="14"/>
      <c r="Q486" s="14"/>
      <c r="R486" s="14"/>
      <c r="S486" s="14"/>
    </row>
    <row r="487" ht="14.25" customHeight="1">
      <c r="N487" s="14"/>
      <c r="O487" s="14"/>
      <c r="P487" s="14"/>
      <c r="Q487" s="14"/>
      <c r="R487" s="14"/>
      <c r="S487" s="14"/>
    </row>
    <row r="488" ht="14.25" customHeight="1">
      <c r="N488" s="14"/>
      <c r="O488" s="14"/>
      <c r="P488" s="14"/>
      <c r="Q488" s="14"/>
      <c r="R488" s="14"/>
      <c r="S488" s="14"/>
    </row>
    <row r="489" ht="14.25" customHeight="1">
      <c r="N489" s="14"/>
      <c r="O489" s="14"/>
      <c r="P489" s="14"/>
      <c r="Q489" s="14"/>
      <c r="R489" s="14"/>
      <c r="S489" s="14"/>
    </row>
    <row r="490" ht="14.25" customHeight="1">
      <c r="N490" s="14"/>
      <c r="O490" s="14"/>
      <c r="P490" s="14"/>
      <c r="Q490" s="14"/>
      <c r="R490" s="14"/>
      <c r="S490" s="14"/>
    </row>
    <row r="491" ht="14.25" customHeight="1">
      <c r="N491" s="14"/>
      <c r="O491" s="14"/>
      <c r="P491" s="14"/>
      <c r="Q491" s="14"/>
      <c r="R491" s="14"/>
      <c r="S491" s="14"/>
    </row>
    <row r="492" ht="14.25" customHeight="1">
      <c r="N492" s="14"/>
      <c r="O492" s="14"/>
      <c r="P492" s="14"/>
      <c r="Q492" s="14"/>
      <c r="R492" s="14"/>
      <c r="S492" s="14"/>
    </row>
    <row r="493" ht="14.25" customHeight="1">
      <c r="N493" s="14"/>
      <c r="O493" s="14"/>
      <c r="P493" s="14"/>
      <c r="Q493" s="14"/>
      <c r="R493" s="14"/>
      <c r="S493" s="14"/>
    </row>
    <row r="494" ht="14.25" customHeight="1">
      <c r="N494" s="14"/>
      <c r="O494" s="14"/>
      <c r="P494" s="14"/>
      <c r="Q494" s="14"/>
      <c r="R494" s="14"/>
      <c r="S494" s="14"/>
    </row>
    <row r="495" ht="14.25" customHeight="1">
      <c r="N495" s="14"/>
      <c r="O495" s="14"/>
      <c r="P495" s="14"/>
      <c r="Q495" s="14"/>
      <c r="R495" s="14"/>
      <c r="S495" s="14"/>
    </row>
    <row r="496" ht="14.25" customHeight="1">
      <c r="N496" s="14"/>
      <c r="O496" s="14"/>
      <c r="P496" s="14"/>
      <c r="Q496" s="14"/>
      <c r="R496" s="14"/>
      <c r="S496" s="14"/>
    </row>
    <row r="497" ht="14.25" customHeight="1">
      <c r="N497" s="14"/>
      <c r="O497" s="14"/>
      <c r="P497" s="14"/>
      <c r="Q497" s="14"/>
      <c r="R497" s="14"/>
      <c r="S497" s="14"/>
    </row>
    <row r="498" ht="14.25" customHeight="1">
      <c r="N498" s="14"/>
      <c r="O498" s="14"/>
      <c r="P498" s="14"/>
      <c r="Q498" s="14"/>
      <c r="R498" s="14"/>
      <c r="S498" s="14"/>
    </row>
    <row r="499" ht="14.25" customHeight="1">
      <c r="N499" s="14"/>
      <c r="O499" s="14"/>
      <c r="P499" s="14"/>
      <c r="Q499" s="14"/>
      <c r="R499" s="14"/>
      <c r="S499" s="14"/>
    </row>
    <row r="500" ht="14.25" customHeight="1">
      <c r="N500" s="14"/>
      <c r="O500" s="14"/>
      <c r="P500" s="14"/>
      <c r="Q500" s="14"/>
      <c r="R500" s="14"/>
      <c r="S500" s="14"/>
    </row>
    <row r="501" ht="14.25" customHeight="1">
      <c r="N501" s="14"/>
      <c r="O501" s="14"/>
      <c r="P501" s="14"/>
      <c r="Q501" s="14"/>
      <c r="R501" s="14"/>
      <c r="S501" s="14"/>
    </row>
    <row r="502" ht="14.25" customHeight="1">
      <c r="N502" s="14"/>
      <c r="O502" s="14"/>
      <c r="P502" s="14"/>
      <c r="Q502" s="14"/>
      <c r="R502" s="14"/>
      <c r="S502" s="14"/>
    </row>
    <row r="503" ht="14.25" customHeight="1">
      <c r="N503" s="14"/>
      <c r="O503" s="14"/>
      <c r="P503" s="14"/>
      <c r="Q503" s="14"/>
      <c r="R503" s="14"/>
      <c r="S503" s="14"/>
    </row>
    <row r="504" ht="14.25" customHeight="1">
      <c r="N504" s="14"/>
      <c r="O504" s="14"/>
      <c r="P504" s="14"/>
      <c r="Q504" s="14"/>
      <c r="R504" s="14"/>
      <c r="S504" s="14"/>
    </row>
    <row r="505" ht="14.25" customHeight="1">
      <c r="N505" s="14"/>
      <c r="O505" s="14"/>
      <c r="P505" s="14"/>
      <c r="Q505" s="14"/>
      <c r="R505" s="14"/>
      <c r="S505" s="14"/>
    </row>
    <row r="506" ht="14.25" customHeight="1">
      <c r="N506" s="14"/>
      <c r="O506" s="14"/>
      <c r="P506" s="14"/>
      <c r="Q506" s="14"/>
      <c r="R506" s="14"/>
      <c r="S506" s="14"/>
    </row>
    <row r="507" ht="14.25" customHeight="1">
      <c r="N507" s="14"/>
      <c r="O507" s="14"/>
      <c r="P507" s="14"/>
      <c r="Q507" s="14"/>
      <c r="R507" s="14"/>
      <c r="S507" s="14"/>
    </row>
    <row r="508" ht="14.25" customHeight="1">
      <c r="N508" s="14"/>
      <c r="O508" s="14"/>
      <c r="P508" s="14"/>
      <c r="Q508" s="14"/>
      <c r="R508" s="14"/>
      <c r="S508" s="14"/>
    </row>
    <row r="509" ht="14.25" customHeight="1">
      <c r="N509" s="14"/>
      <c r="O509" s="14"/>
      <c r="P509" s="14"/>
      <c r="Q509" s="14"/>
      <c r="R509" s="14"/>
      <c r="S509" s="14"/>
    </row>
    <row r="510" ht="14.25" customHeight="1">
      <c r="N510" s="14"/>
      <c r="O510" s="14"/>
      <c r="P510" s="14"/>
      <c r="Q510" s="14"/>
      <c r="R510" s="14"/>
      <c r="S510" s="14"/>
    </row>
    <row r="511" ht="14.25" customHeight="1">
      <c r="N511" s="14"/>
      <c r="O511" s="14"/>
      <c r="P511" s="14"/>
      <c r="Q511" s="14"/>
      <c r="R511" s="14"/>
      <c r="S511" s="14"/>
    </row>
    <row r="512" ht="14.25" customHeight="1">
      <c r="N512" s="14"/>
      <c r="O512" s="14"/>
      <c r="P512" s="14"/>
      <c r="Q512" s="14"/>
      <c r="R512" s="14"/>
      <c r="S512" s="14"/>
    </row>
    <row r="513" ht="14.25" customHeight="1">
      <c r="N513" s="14"/>
      <c r="O513" s="14"/>
      <c r="P513" s="14"/>
      <c r="Q513" s="14"/>
      <c r="R513" s="14"/>
      <c r="S513" s="14"/>
    </row>
    <row r="514" ht="14.25" customHeight="1">
      <c r="N514" s="14"/>
      <c r="O514" s="14"/>
      <c r="P514" s="14"/>
      <c r="Q514" s="14"/>
      <c r="R514" s="14"/>
      <c r="S514" s="14"/>
    </row>
    <row r="515" ht="14.25" customHeight="1">
      <c r="N515" s="14"/>
      <c r="O515" s="14"/>
      <c r="P515" s="14"/>
      <c r="Q515" s="14"/>
      <c r="R515" s="14"/>
      <c r="S515" s="14"/>
    </row>
    <row r="516" ht="14.25" customHeight="1">
      <c r="N516" s="14"/>
      <c r="O516" s="14"/>
      <c r="P516" s="14"/>
      <c r="Q516" s="14"/>
      <c r="R516" s="14"/>
      <c r="S516" s="14"/>
    </row>
    <row r="517" ht="14.25" customHeight="1">
      <c r="N517" s="14"/>
      <c r="O517" s="14"/>
      <c r="P517" s="14"/>
      <c r="Q517" s="14"/>
      <c r="R517" s="14"/>
      <c r="S517" s="14"/>
    </row>
    <row r="518" ht="14.25" customHeight="1">
      <c r="N518" s="14"/>
      <c r="O518" s="14"/>
      <c r="P518" s="14"/>
      <c r="Q518" s="14"/>
      <c r="R518" s="14"/>
      <c r="S518" s="14"/>
    </row>
    <row r="519" ht="14.25" customHeight="1">
      <c r="N519" s="14"/>
      <c r="O519" s="14"/>
      <c r="P519" s="14"/>
      <c r="Q519" s="14"/>
      <c r="R519" s="14"/>
      <c r="S519" s="14"/>
    </row>
    <row r="520" ht="14.25" customHeight="1">
      <c r="N520" s="14"/>
      <c r="O520" s="14"/>
      <c r="P520" s="14"/>
      <c r="Q520" s="14"/>
      <c r="R520" s="14"/>
      <c r="S520" s="14"/>
    </row>
    <row r="521" ht="14.25" customHeight="1">
      <c r="N521" s="14"/>
      <c r="O521" s="14"/>
      <c r="P521" s="14"/>
      <c r="Q521" s="14"/>
      <c r="R521" s="14"/>
      <c r="S521" s="14"/>
    </row>
    <row r="522" ht="14.25" customHeight="1">
      <c r="N522" s="14"/>
      <c r="O522" s="14"/>
      <c r="P522" s="14"/>
      <c r="Q522" s="14"/>
      <c r="R522" s="14"/>
      <c r="S522" s="14"/>
    </row>
    <row r="523" ht="14.25" customHeight="1">
      <c r="N523" s="14"/>
      <c r="O523" s="14"/>
      <c r="P523" s="14"/>
      <c r="Q523" s="14"/>
      <c r="R523" s="14"/>
      <c r="S523" s="14"/>
    </row>
    <row r="524" ht="14.25" customHeight="1">
      <c r="N524" s="14"/>
      <c r="O524" s="14"/>
      <c r="P524" s="14"/>
      <c r="Q524" s="14"/>
      <c r="R524" s="14"/>
      <c r="S524" s="14"/>
    </row>
    <row r="525" ht="14.25" customHeight="1">
      <c r="N525" s="14"/>
      <c r="O525" s="14"/>
      <c r="P525" s="14"/>
      <c r="Q525" s="14"/>
      <c r="R525" s="14"/>
      <c r="S525" s="14"/>
    </row>
    <row r="526" ht="14.25" customHeight="1">
      <c r="N526" s="14"/>
      <c r="O526" s="14"/>
      <c r="P526" s="14"/>
      <c r="Q526" s="14"/>
      <c r="R526" s="14"/>
      <c r="S526" s="14"/>
    </row>
    <row r="527" ht="14.25" customHeight="1">
      <c r="N527" s="14"/>
      <c r="O527" s="14"/>
      <c r="P527" s="14"/>
      <c r="Q527" s="14"/>
      <c r="R527" s="14"/>
      <c r="S527" s="14"/>
    </row>
    <row r="528" ht="14.25" customHeight="1">
      <c r="N528" s="14"/>
      <c r="O528" s="14"/>
      <c r="P528" s="14"/>
      <c r="Q528" s="14"/>
      <c r="R528" s="14"/>
      <c r="S528" s="14"/>
    </row>
    <row r="529" ht="14.25" customHeight="1">
      <c r="N529" s="14"/>
      <c r="O529" s="14"/>
      <c r="P529" s="14"/>
      <c r="Q529" s="14"/>
      <c r="R529" s="14"/>
      <c r="S529" s="14"/>
    </row>
    <row r="530" ht="14.25" customHeight="1">
      <c r="N530" s="14"/>
      <c r="O530" s="14"/>
      <c r="P530" s="14"/>
      <c r="Q530" s="14"/>
      <c r="R530" s="14"/>
      <c r="S530" s="14"/>
    </row>
    <row r="531" ht="14.25" customHeight="1">
      <c r="N531" s="14"/>
      <c r="O531" s="14"/>
      <c r="P531" s="14"/>
      <c r="Q531" s="14"/>
      <c r="R531" s="14"/>
      <c r="S531" s="14"/>
    </row>
    <row r="532" ht="14.25" customHeight="1">
      <c r="N532" s="14"/>
      <c r="O532" s="14"/>
      <c r="P532" s="14"/>
      <c r="Q532" s="14"/>
      <c r="R532" s="14"/>
      <c r="S532" s="14"/>
    </row>
    <row r="533" ht="14.25" customHeight="1">
      <c r="N533" s="14"/>
      <c r="O533" s="14"/>
      <c r="P533" s="14"/>
      <c r="Q533" s="14"/>
      <c r="R533" s="14"/>
      <c r="S533" s="14"/>
    </row>
    <row r="534" ht="14.25" customHeight="1">
      <c r="N534" s="14"/>
      <c r="O534" s="14"/>
      <c r="P534" s="14"/>
      <c r="Q534" s="14"/>
      <c r="R534" s="14"/>
      <c r="S534" s="14"/>
    </row>
    <row r="535" ht="14.25" customHeight="1">
      <c r="N535" s="14"/>
      <c r="O535" s="14"/>
      <c r="P535" s="14"/>
      <c r="Q535" s="14"/>
      <c r="R535" s="14"/>
      <c r="S535" s="14"/>
    </row>
    <row r="536" ht="14.25" customHeight="1">
      <c r="N536" s="14"/>
      <c r="O536" s="14"/>
      <c r="P536" s="14"/>
      <c r="Q536" s="14"/>
      <c r="R536" s="14"/>
      <c r="S536" s="14"/>
    </row>
    <row r="537" ht="14.25" customHeight="1">
      <c r="N537" s="14"/>
      <c r="O537" s="14"/>
      <c r="P537" s="14"/>
      <c r="Q537" s="14"/>
      <c r="R537" s="14"/>
      <c r="S537" s="14"/>
    </row>
    <row r="538" ht="14.25" customHeight="1">
      <c r="N538" s="14"/>
      <c r="O538" s="14"/>
      <c r="P538" s="14"/>
      <c r="Q538" s="14"/>
      <c r="R538" s="14"/>
      <c r="S538" s="14"/>
    </row>
    <row r="539" ht="14.25" customHeight="1">
      <c r="N539" s="14"/>
      <c r="O539" s="14"/>
      <c r="P539" s="14"/>
      <c r="Q539" s="14"/>
      <c r="R539" s="14"/>
      <c r="S539" s="14"/>
    </row>
    <row r="540" ht="14.25" customHeight="1">
      <c r="N540" s="14"/>
      <c r="O540" s="14"/>
      <c r="P540" s="14"/>
      <c r="Q540" s="14"/>
      <c r="R540" s="14"/>
      <c r="S540" s="14"/>
    </row>
    <row r="541" ht="14.25" customHeight="1">
      <c r="N541" s="14"/>
      <c r="O541" s="14"/>
      <c r="P541" s="14"/>
      <c r="Q541" s="14"/>
      <c r="R541" s="14"/>
      <c r="S541" s="14"/>
    </row>
    <row r="542" ht="14.25" customHeight="1">
      <c r="N542" s="14"/>
      <c r="O542" s="14"/>
      <c r="P542" s="14"/>
      <c r="Q542" s="14"/>
      <c r="R542" s="14"/>
      <c r="S542" s="14"/>
    </row>
    <row r="543" ht="14.25" customHeight="1">
      <c r="N543" s="14"/>
      <c r="O543" s="14"/>
      <c r="P543" s="14"/>
      <c r="Q543" s="14"/>
      <c r="R543" s="14"/>
      <c r="S543" s="14"/>
    </row>
    <row r="544" ht="14.25" customHeight="1">
      <c r="N544" s="14"/>
      <c r="O544" s="14"/>
      <c r="P544" s="14"/>
      <c r="Q544" s="14"/>
      <c r="R544" s="14"/>
      <c r="S544" s="14"/>
    </row>
    <row r="545" ht="14.25" customHeight="1">
      <c r="N545" s="14"/>
      <c r="O545" s="14"/>
      <c r="P545" s="14"/>
      <c r="Q545" s="14"/>
      <c r="R545" s="14"/>
      <c r="S545" s="14"/>
    </row>
    <row r="546" ht="14.25" customHeight="1">
      <c r="N546" s="14"/>
      <c r="O546" s="14"/>
      <c r="P546" s="14"/>
      <c r="Q546" s="14"/>
      <c r="R546" s="14"/>
      <c r="S546" s="14"/>
    </row>
    <row r="547" ht="14.25" customHeight="1">
      <c r="N547" s="14"/>
      <c r="O547" s="14"/>
      <c r="P547" s="14"/>
      <c r="Q547" s="14"/>
      <c r="R547" s="14"/>
      <c r="S547" s="14"/>
    </row>
    <row r="548" ht="14.25" customHeight="1">
      <c r="N548" s="14"/>
      <c r="O548" s="14"/>
      <c r="P548" s="14"/>
      <c r="Q548" s="14"/>
      <c r="R548" s="14"/>
      <c r="S548" s="14"/>
    </row>
    <row r="549" ht="14.25" customHeight="1">
      <c r="N549" s="14"/>
      <c r="O549" s="14"/>
      <c r="P549" s="14"/>
      <c r="Q549" s="14"/>
      <c r="R549" s="14"/>
      <c r="S549" s="14"/>
    </row>
    <row r="550" ht="14.25" customHeight="1">
      <c r="N550" s="14"/>
      <c r="O550" s="14"/>
      <c r="P550" s="14"/>
      <c r="Q550" s="14"/>
      <c r="R550" s="14"/>
      <c r="S550" s="14"/>
    </row>
    <row r="551" ht="14.25" customHeight="1">
      <c r="N551" s="14"/>
      <c r="O551" s="14"/>
      <c r="P551" s="14"/>
      <c r="Q551" s="14"/>
      <c r="R551" s="14"/>
      <c r="S551" s="14"/>
    </row>
    <row r="552" ht="14.25" customHeight="1">
      <c r="N552" s="14"/>
      <c r="O552" s="14"/>
      <c r="P552" s="14"/>
      <c r="Q552" s="14"/>
      <c r="R552" s="14"/>
      <c r="S552" s="14"/>
    </row>
    <row r="553" ht="14.25" customHeight="1">
      <c r="N553" s="14"/>
      <c r="O553" s="14"/>
      <c r="P553" s="14"/>
      <c r="Q553" s="14"/>
      <c r="R553" s="14"/>
      <c r="S553" s="14"/>
    </row>
    <row r="554" ht="14.25" customHeight="1">
      <c r="N554" s="14"/>
      <c r="O554" s="14"/>
      <c r="P554" s="14"/>
      <c r="Q554" s="14"/>
      <c r="R554" s="14"/>
      <c r="S554" s="14"/>
    </row>
    <row r="555" ht="14.25" customHeight="1">
      <c r="N555" s="14"/>
      <c r="O555" s="14"/>
      <c r="P555" s="14"/>
      <c r="Q555" s="14"/>
      <c r="R555" s="14"/>
      <c r="S555" s="14"/>
    </row>
    <row r="556" ht="14.25" customHeight="1">
      <c r="N556" s="14"/>
      <c r="O556" s="14"/>
      <c r="P556" s="14"/>
      <c r="Q556" s="14"/>
      <c r="R556" s="14"/>
      <c r="S556" s="14"/>
    </row>
    <row r="557" ht="14.25" customHeight="1">
      <c r="N557" s="14"/>
      <c r="O557" s="14"/>
      <c r="P557" s="14"/>
      <c r="Q557" s="14"/>
      <c r="R557" s="14"/>
      <c r="S557" s="14"/>
    </row>
    <row r="558" ht="14.25" customHeight="1">
      <c r="N558" s="14"/>
      <c r="O558" s="14"/>
      <c r="P558" s="14"/>
      <c r="Q558" s="14"/>
      <c r="R558" s="14"/>
      <c r="S558" s="14"/>
    </row>
    <row r="559" ht="14.25" customHeight="1">
      <c r="N559" s="14"/>
      <c r="O559" s="14"/>
      <c r="P559" s="14"/>
      <c r="Q559" s="14"/>
      <c r="R559" s="14"/>
      <c r="S559" s="14"/>
    </row>
    <row r="560" ht="14.25" customHeight="1">
      <c r="N560" s="14"/>
      <c r="O560" s="14"/>
      <c r="P560" s="14"/>
      <c r="Q560" s="14"/>
      <c r="R560" s="14"/>
      <c r="S560" s="14"/>
    </row>
    <row r="561" ht="14.25" customHeight="1">
      <c r="N561" s="14"/>
      <c r="O561" s="14"/>
      <c r="P561" s="14"/>
      <c r="Q561" s="14"/>
      <c r="R561" s="14"/>
      <c r="S561" s="14"/>
    </row>
    <row r="562" ht="14.25" customHeight="1">
      <c r="N562" s="14"/>
      <c r="O562" s="14"/>
      <c r="P562" s="14"/>
      <c r="Q562" s="14"/>
      <c r="R562" s="14"/>
      <c r="S562" s="14"/>
    </row>
    <row r="563" ht="14.25" customHeight="1">
      <c r="N563" s="14"/>
      <c r="O563" s="14"/>
      <c r="P563" s="14"/>
      <c r="Q563" s="14"/>
      <c r="R563" s="14"/>
      <c r="S563" s="14"/>
    </row>
    <row r="564" ht="14.25" customHeight="1">
      <c r="N564" s="14"/>
      <c r="O564" s="14"/>
      <c r="P564" s="14"/>
      <c r="Q564" s="14"/>
      <c r="R564" s="14"/>
      <c r="S564" s="14"/>
    </row>
    <row r="565" ht="14.25" customHeight="1">
      <c r="N565" s="14"/>
      <c r="O565" s="14"/>
      <c r="P565" s="14"/>
      <c r="Q565" s="14"/>
      <c r="R565" s="14"/>
      <c r="S565" s="14"/>
    </row>
    <row r="566" ht="14.25" customHeight="1">
      <c r="N566" s="14"/>
      <c r="O566" s="14"/>
      <c r="P566" s="14"/>
      <c r="Q566" s="14"/>
      <c r="R566" s="14"/>
      <c r="S566" s="14"/>
    </row>
    <row r="567" ht="14.25" customHeight="1">
      <c r="N567" s="14"/>
      <c r="O567" s="14"/>
      <c r="P567" s="14"/>
      <c r="Q567" s="14"/>
      <c r="R567" s="14"/>
      <c r="S567" s="14"/>
    </row>
    <row r="568" ht="14.25" customHeight="1">
      <c r="N568" s="14"/>
      <c r="O568" s="14"/>
      <c r="P568" s="14"/>
      <c r="Q568" s="14"/>
      <c r="R568" s="14"/>
      <c r="S568" s="14"/>
    </row>
    <row r="569" ht="14.25" customHeight="1">
      <c r="N569" s="14"/>
      <c r="O569" s="14"/>
      <c r="P569" s="14"/>
      <c r="Q569" s="14"/>
      <c r="R569" s="14"/>
      <c r="S569" s="14"/>
    </row>
    <row r="570" ht="14.25" customHeight="1">
      <c r="N570" s="14"/>
      <c r="O570" s="14"/>
      <c r="P570" s="14"/>
      <c r="Q570" s="14"/>
      <c r="R570" s="14"/>
      <c r="S570" s="14"/>
    </row>
    <row r="571" ht="14.25" customHeight="1">
      <c r="N571" s="14"/>
      <c r="O571" s="14"/>
      <c r="P571" s="14"/>
      <c r="Q571" s="14"/>
      <c r="R571" s="14"/>
      <c r="S571" s="14"/>
    </row>
    <row r="572" ht="14.25" customHeight="1">
      <c r="N572" s="14"/>
      <c r="O572" s="14"/>
      <c r="P572" s="14"/>
      <c r="Q572" s="14"/>
      <c r="R572" s="14"/>
      <c r="S572" s="14"/>
    </row>
    <row r="573" ht="14.25" customHeight="1">
      <c r="N573" s="14"/>
      <c r="O573" s="14"/>
      <c r="P573" s="14"/>
      <c r="Q573" s="14"/>
      <c r="R573" s="14"/>
      <c r="S573" s="14"/>
    </row>
    <row r="574" ht="14.25" customHeight="1">
      <c r="N574" s="14"/>
      <c r="O574" s="14"/>
      <c r="P574" s="14"/>
      <c r="Q574" s="14"/>
      <c r="R574" s="14"/>
      <c r="S574" s="14"/>
    </row>
    <row r="575" ht="14.25" customHeight="1">
      <c r="N575" s="14"/>
      <c r="O575" s="14"/>
      <c r="P575" s="14"/>
      <c r="Q575" s="14"/>
      <c r="R575" s="14"/>
      <c r="S575" s="14"/>
    </row>
    <row r="576" ht="14.25" customHeight="1">
      <c r="N576" s="14"/>
      <c r="O576" s="14"/>
      <c r="P576" s="14"/>
      <c r="Q576" s="14"/>
      <c r="R576" s="14"/>
      <c r="S576" s="14"/>
    </row>
    <row r="577" ht="14.25" customHeight="1">
      <c r="N577" s="14"/>
      <c r="O577" s="14"/>
      <c r="P577" s="14"/>
      <c r="Q577" s="14"/>
      <c r="R577" s="14"/>
      <c r="S577" s="14"/>
    </row>
    <row r="578" ht="14.25" customHeight="1">
      <c r="N578" s="14"/>
      <c r="O578" s="14"/>
      <c r="P578" s="14"/>
      <c r="Q578" s="14"/>
      <c r="R578" s="14"/>
      <c r="S578" s="14"/>
    </row>
    <row r="579" ht="14.25" customHeight="1">
      <c r="N579" s="14"/>
      <c r="O579" s="14"/>
      <c r="P579" s="14"/>
      <c r="Q579" s="14"/>
      <c r="R579" s="14"/>
      <c r="S579" s="14"/>
    </row>
    <row r="580" ht="14.25" customHeight="1">
      <c r="N580" s="14"/>
      <c r="O580" s="14"/>
      <c r="P580" s="14"/>
      <c r="Q580" s="14"/>
      <c r="R580" s="14"/>
      <c r="S580" s="14"/>
    </row>
    <row r="581" ht="14.25" customHeight="1">
      <c r="N581" s="14"/>
      <c r="O581" s="14"/>
      <c r="P581" s="14"/>
      <c r="Q581" s="14"/>
      <c r="R581" s="14"/>
      <c r="S581" s="14"/>
    </row>
    <row r="582" ht="14.25" customHeight="1">
      <c r="N582" s="14"/>
      <c r="O582" s="14"/>
      <c r="P582" s="14"/>
      <c r="Q582" s="14"/>
      <c r="R582" s="14"/>
      <c r="S582" s="14"/>
    </row>
    <row r="583" ht="14.25" customHeight="1">
      <c r="N583" s="14"/>
      <c r="O583" s="14"/>
      <c r="P583" s="14"/>
      <c r="Q583" s="14"/>
      <c r="R583" s="14"/>
      <c r="S583" s="14"/>
    </row>
    <row r="584" ht="14.25" customHeight="1">
      <c r="N584" s="14"/>
      <c r="O584" s="14"/>
      <c r="P584" s="14"/>
      <c r="Q584" s="14"/>
      <c r="R584" s="14"/>
      <c r="S584" s="14"/>
    </row>
    <row r="585" ht="14.25" customHeight="1">
      <c r="N585" s="14"/>
      <c r="O585" s="14"/>
      <c r="P585" s="14"/>
      <c r="Q585" s="14"/>
      <c r="R585" s="14"/>
      <c r="S585" s="14"/>
    </row>
    <row r="586" ht="14.25" customHeight="1">
      <c r="N586" s="14"/>
      <c r="O586" s="14"/>
      <c r="P586" s="14"/>
      <c r="Q586" s="14"/>
      <c r="R586" s="14"/>
      <c r="S586" s="14"/>
    </row>
    <row r="587" ht="14.25" customHeight="1">
      <c r="N587" s="14"/>
      <c r="O587" s="14"/>
      <c r="P587" s="14"/>
      <c r="Q587" s="14"/>
      <c r="R587" s="14"/>
      <c r="S587" s="14"/>
    </row>
    <row r="588" ht="14.25" customHeight="1">
      <c r="N588" s="14"/>
      <c r="O588" s="14"/>
      <c r="P588" s="14"/>
      <c r="Q588" s="14"/>
      <c r="R588" s="14"/>
      <c r="S588" s="14"/>
    </row>
    <row r="589" ht="14.25" customHeight="1">
      <c r="N589" s="14"/>
      <c r="O589" s="14"/>
      <c r="P589" s="14"/>
      <c r="Q589" s="14"/>
      <c r="R589" s="14"/>
      <c r="S589" s="14"/>
    </row>
    <row r="590" ht="14.25" customHeight="1">
      <c r="N590" s="14"/>
      <c r="O590" s="14"/>
      <c r="P590" s="14"/>
      <c r="Q590" s="14"/>
      <c r="R590" s="14"/>
      <c r="S590" s="14"/>
    </row>
    <row r="591" ht="14.25" customHeight="1">
      <c r="N591" s="14"/>
      <c r="O591" s="14"/>
      <c r="P591" s="14"/>
      <c r="Q591" s="14"/>
      <c r="R591" s="14"/>
      <c r="S591" s="14"/>
    </row>
    <row r="592" ht="14.25" customHeight="1">
      <c r="N592" s="14"/>
      <c r="O592" s="14"/>
      <c r="P592" s="14"/>
      <c r="Q592" s="14"/>
      <c r="R592" s="14"/>
      <c r="S592" s="14"/>
    </row>
    <row r="593" ht="14.25" customHeight="1">
      <c r="N593" s="14"/>
      <c r="O593" s="14"/>
      <c r="P593" s="14"/>
      <c r="Q593" s="14"/>
      <c r="R593" s="14"/>
      <c r="S593" s="14"/>
    </row>
    <row r="594" ht="14.25" customHeight="1">
      <c r="N594" s="14"/>
      <c r="O594" s="14"/>
      <c r="P594" s="14"/>
      <c r="Q594" s="14"/>
      <c r="R594" s="14"/>
      <c r="S594" s="14"/>
    </row>
    <row r="595" ht="14.25" customHeight="1">
      <c r="N595" s="14"/>
      <c r="O595" s="14"/>
      <c r="P595" s="14"/>
      <c r="Q595" s="14"/>
      <c r="R595" s="14"/>
      <c r="S595" s="14"/>
    </row>
    <row r="596" ht="14.25" customHeight="1">
      <c r="N596" s="14"/>
      <c r="O596" s="14"/>
      <c r="P596" s="14"/>
      <c r="Q596" s="14"/>
      <c r="R596" s="14"/>
      <c r="S596" s="14"/>
    </row>
    <row r="597" ht="14.25" customHeight="1">
      <c r="N597" s="14"/>
      <c r="O597" s="14"/>
      <c r="P597" s="14"/>
      <c r="Q597" s="14"/>
      <c r="R597" s="14"/>
      <c r="S597" s="14"/>
    </row>
    <row r="598" ht="14.25" customHeight="1">
      <c r="N598" s="14"/>
      <c r="O598" s="14"/>
      <c r="P598" s="14"/>
      <c r="Q598" s="14"/>
      <c r="R598" s="14"/>
      <c r="S598" s="14"/>
    </row>
    <row r="599" ht="14.25" customHeight="1">
      <c r="N599" s="14"/>
      <c r="O599" s="14"/>
      <c r="P599" s="14"/>
      <c r="Q599" s="14"/>
      <c r="R599" s="14"/>
      <c r="S599" s="14"/>
    </row>
    <row r="600" ht="14.25" customHeight="1">
      <c r="N600" s="14"/>
      <c r="O600" s="14"/>
      <c r="P600" s="14"/>
      <c r="Q600" s="14"/>
      <c r="R600" s="14"/>
      <c r="S600" s="14"/>
    </row>
    <row r="601" ht="14.25" customHeight="1">
      <c r="N601" s="14"/>
      <c r="O601" s="14"/>
      <c r="P601" s="14"/>
      <c r="Q601" s="14"/>
      <c r="R601" s="14"/>
      <c r="S601" s="14"/>
    </row>
    <row r="602" ht="14.25" customHeight="1">
      <c r="N602" s="14"/>
      <c r="O602" s="14"/>
      <c r="P602" s="14"/>
      <c r="Q602" s="14"/>
      <c r="R602" s="14"/>
      <c r="S602" s="14"/>
    </row>
    <row r="603" ht="14.25" customHeight="1">
      <c r="N603" s="14"/>
      <c r="O603" s="14"/>
      <c r="P603" s="14"/>
      <c r="Q603" s="14"/>
      <c r="R603" s="14"/>
      <c r="S603" s="14"/>
    </row>
    <row r="604" ht="14.25" customHeight="1">
      <c r="N604" s="14"/>
      <c r="O604" s="14"/>
      <c r="P604" s="14"/>
      <c r="Q604" s="14"/>
      <c r="R604" s="14"/>
      <c r="S604" s="14"/>
    </row>
    <row r="605" ht="14.25" customHeight="1">
      <c r="N605" s="14"/>
      <c r="O605" s="14"/>
      <c r="P605" s="14"/>
      <c r="Q605" s="14"/>
      <c r="R605" s="14"/>
      <c r="S605" s="14"/>
    </row>
    <row r="606" ht="14.25" customHeight="1">
      <c r="N606" s="14"/>
      <c r="O606" s="14"/>
      <c r="P606" s="14"/>
      <c r="Q606" s="14"/>
      <c r="R606" s="14"/>
      <c r="S606" s="14"/>
    </row>
    <row r="607" ht="14.25" customHeight="1">
      <c r="N607" s="14"/>
      <c r="O607" s="14"/>
      <c r="P607" s="14"/>
      <c r="Q607" s="14"/>
      <c r="R607" s="14"/>
      <c r="S607" s="14"/>
    </row>
    <row r="608" ht="14.25" customHeight="1">
      <c r="N608" s="14"/>
      <c r="O608" s="14"/>
      <c r="P608" s="14"/>
      <c r="Q608" s="14"/>
      <c r="R608" s="14"/>
      <c r="S608" s="14"/>
    </row>
    <row r="609" ht="14.25" customHeight="1">
      <c r="N609" s="14"/>
      <c r="O609" s="14"/>
      <c r="P609" s="14"/>
      <c r="Q609" s="14"/>
      <c r="R609" s="14"/>
      <c r="S609" s="14"/>
    </row>
    <row r="610" ht="14.25" customHeight="1">
      <c r="N610" s="14"/>
      <c r="O610" s="14"/>
      <c r="P610" s="14"/>
      <c r="Q610" s="14"/>
      <c r="R610" s="14"/>
      <c r="S610" s="14"/>
    </row>
    <row r="611" ht="14.25" customHeight="1">
      <c r="N611" s="14"/>
      <c r="O611" s="14"/>
      <c r="P611" s="14"/>
      <c r="Q611" s="14"/>
      <c r="R611" s="14"/>
      <c r="S611" s="14"/>
    </row>
    <row r="612" ht="14.25" customHeight="1">
      <c r="N612" s="14"/>
      <c r="O612" s="14"/>
      <c r="P612" s="14"/>
      <c r="Q612" s="14"/>
      <c r="R612" s="14"/>
      <c r="S612" s="14"/>
    </row>
    <row r="613" ht="14.25" customHeight="1">
      <c r="N613" s="14"/>
      <c r="O613" s="14"/>
      <c r="P613" s="14"/>
      <c r="Q613" s="14"/>
      <c r="R613" s="14"/>
      <c r="S613" s="14"/>
    </row>
    <row r="614" ht="14.25" customHeight="1">
      <c r="N614" s="14"/>
      <c r="O614" s="14"/>
      <c r="P614" s="14"/>
      <c r="Q614" s="14"/>
      <c r="R614" s="14"/>
      <c r="S614" s="14"/>
    </row>
    <row r="615" ht="14.25" customHeight="1">
      <c r="N615" s="14"/>
      <c r="O615" s="14"/>
      <c r="P615" s="14"/>
      <c r="Q615" s="14"/>
      <c r="R615" s="14"/>
      <c r="S615" s="14"/>
    </row>
    <row r="616" ht="14.25" customHeight="1">
      <c r="N616" s="14"/>
      <c r="O616" s="14"/>
      <c r="P616" s="14"/>
      <c r="Q616" s="14"/>
      <c r="R616" s="14"/>
      <c r="S616" s="14"/>
    </row>
    <row r="617" ht="14.25" customHeight="1">
      <c r="N617" s="14"/>
      <c r="O617" s="14"/>
      <c r="P617" s="14"/>
      <c r="Q617" s="14"/>
      <c r="R617" s="14"/>
      <c r="S617" s="14"/>
    </row>
    <row r="618" ht="14.25" customHeight="1">
      <c r="N618" s="14"/>
      <c r="O618" s="14"/>
      <c r="P618" s="14"/>
      <c r="Q618" s="14"/>
      <c r="R618" s="14"/>
      <c r="S618" s="14"/>
    </row>
    <row r="619" ht="14.25" customHeight="1">
      <c r="N619" s="14"/>
      <c r="O619" s="14"/>
      <c r="P619" s="14"/>
      <c r="Q619" s="14"/>
      <c r="R619" s="14"/>
      <c r="S619" s="14"/>
    </row>
    <row r="620" ht="14.25" customHeight="1">
      <c r="N620" s="14"/>
      <c r="O620" s="14"/>
      <c r="P620" s="14"/>
      <c r="Q620" s="14"/>
      <c r="R620" s="14"/>
      <c r="S620" s="14"/>
    </row>
    <row r="621" ht="14.25" customHeight="1">
      <c r="N621" s="14"/>
      <c r="O621" s="14"/>
      <c r="P621" s="14"/>
      <c r="Q621" s="14"/>
      <c r="R621" s="14"/>
      <c r="S621" s="14"/>
    </row>
    <row r="622" ht="14.25" customHeight="1">
      <c r="N622" s="14"/>
      <c r="O622" s="14"/>
      <c r="P622" s="14"/>
      <c r="Q622" s="14"/>
      <c r="R622" s="14"/>
      <c r="S622" s="14"/>
    </row>
    <row r="623" ht="14.25" customHeight="1">
      <c r="N623" s="14"/>
      <c r="O623" s="14"/>
      <c r="P623" s="14"/>
      <c r="Q623" s="14"/>
      <c r="R623" s="14"/>
      <c r="S623" s="14"/>
    </row>
    <row r="624" ht="14.25" customHeight="1">
      <c r="N624" s="14"/>
      <c r="O624" s="14"/>
      <c r="P624" s="14"/>
      <c r="Q624" s="14"/>
      <c r="R624" s="14"/>
      <c r="S624" s="14"/>
    </row>
    <row r="625" ht="14.25" customHeight="1">
      <c r="N625" s="14"/>
      <c r="O625" s="14"/>
      <c r="P625" s="14"/>
      <c r="Q625" s="14"/>
      <c r="R625" s="14"/>
      <c r="S625" s="14"/>
    </row>
    <row r="626" ht="14.25" customHeight="1">
      <c r="N626" s="14"/>
      <c r="O626" s="14"/>
      <c r="P626" s="14"/>
      <c r="Q626" s="14"/>
      <c r="R626" s="14"/>
      <c r="S626" s="14"/>
    </row>
    <row r="627" ht="14.25" customHeight="1">
      <c r="N627" s="14"/>
      <c r="O627" s="14"/>
      <c r="P627" s="14"/>
      <c r="Q627" s="14"/>
      <c r="R627" s="14"/>
      <c r="S627" s="14"/>
    </row>
    <row r="628" ht="14.25" customHeight="1">
      <c r="N628" s="14"/>
      <c r="O628" s="14"/>
      <c r="P628" s="14"/>
      <c r="Q628" s="14"/>
      <c r="R628" s="14"/>
      <c r="S628" s="14"/>
    </row>
    <row r="629" ht="14.25" customHeight="1">
      <c r="N629" s="14"/>
      <c r="O629" s="14"/>
      <c r="P629" s="14"/>
      <c r="Q629" s="14"/>
      <c r="R629" s="14"/>
      <c r="S629" s="14"/>
    </row>
    <row r="630" ht="14.25" customHeight="1">
      <c r="N630" s="14"/>
      <c r="O630" s="14"/>
      <c r="P630" s="14"/>
      <c r="Q630" s="14"/>
      <c r="R630" s="14"/>
      <c r="S630" s="14"/>
    </row>
    <row r="631" ht="14.25" customHeight="1">
      <c r="N631" s="14"/>
      <c r="O631" s="14"/>
      <c r="P631" s="14"/>
      <c r="Q631" s="14"/>
      <c r="R631" s="14"/>
      <c r="S631" s="14"/>
    </row>
    <row r="632" ht="14.25" customHeight="1">
      <c r="N632" s="14"/>
      <c r="O632" s="14"/>
      <c r="P632" s="14"/>
      <c r="Q632" s="14"/>
      <c r="R632" s="14"/>
      <c r="S632" s="14"/>
    </row>
    <row r="633" ht="14.25" customHeight="1">
      <c r="N633" s="14"/>
      <c r="O633" s="14"/>
      <c r="P633" s="14"/>
      <c r="Q633" s="14"/>
      <c r="R633" s="14"/>
      <c r="S633" s="14"/>
    </row>
    <row r="634" ht="14.25" customHeight="1">
      <c r="N634" s="14"/>
      <c r="O634" s="14"/>
      <c r="P634" s="14"/>
      <c r="Q634" s="14"/>
      <c r="R634" s="14"/>
      <c r="S634" s="14"/>
    </row>
    <row r="635" ht="14.25" customHeight="1">
      <c r="N635" s="14"/>
      <c r="O635" s="14"/>
      <c r="P635" s="14"/>
      <c r="Q635" s="14"/>
      <c r="R635" s="14"/>
      <c r="S635" s="14"/>
    </row>
    <row r="636" ht="14.25" customHeight="1">
      <c r="N636" s="14"/>
      <c r="O636" s="14"/>
      <c r="P636" s="14"/>
      <c r="Q636" s="14"/>
      <c r="R636" s="14"/>
      <c r="S636" s="14"/>
    </row>
    <row r="637" ht="14.25" customHeight="1">
      <c r="N637" s="14"/>
      <c r="O637" s="14"/>
      <c r="P637" s="14"/>
      <c r="Q637" s="14"/>
      <c r="R637" s="14"/>
      <c r="S637" s="14"/>
    </row>
    <row r="638" ht="14.25" customHeight="1">
      <c r="N638" s="14"/>
      <c r="O638" s="14"/>
      <c r="P638" s="14"/>
      <c r="Q638" s="14"/>
      <c r="R638" s="14"/>
      <c r="S638" s="14"/>
    </row>
    <row r="639" ht="14.25" customHeight="1">
      <c r="N639" s="14"/>
      <c r="O639" s="14"/>
      <c r="P639" s="14"/>
      <c r="Q639" s="14"/>
      <c r="R639" s="14"/>
      <c r="S639" s="14"/>
    </row>
    <row r="640" ht="14.25" customHeight="1">
      <c r="N640" s="14"/>
      <c r="O640" s="14"/>
      <c r="P640" s="14"/>
      <c r="Q640" s="14"/>
      <c r="R640" s="14"/>
      <c r="S640" s="14"/>
    </row>
    <row r="641" ht="14.25" customHeight="1">
      <c r="N641" s="14"/>
      <c r="O641" s="14"/>
      <c r="P641" s="14"/>
      <c r="Q641" s="14"/>
      <c r="R641" s="14"/>
      <c r="S641" s="14"/>
    </row>
    <row r="642" ht="14.25" customHeight="1">
      <c r="N642" s="14"/>
      <c r="O642" s="14"/>
      <c r="P642" s="14"/>
      <c r="Q642" s="14"/>
      <c r="R642" s="14"/>
      <c r="S642" s="14"/>
    </row>
    <row r="643" ht="14.25" customHeight="1">
      <c r="N643" s="14"/>
      <c r="O643" s="14"/>
      <c r="P643" s="14"/>
      <c r="Q643" s="14"/>
      <c r="R643" s="14"/>
      <c r="S643" s="14"/>
    </row>
    <row r="644" ht="14.25" customHeight="1">
      <c r="N644" s="14"/>
      <c r="O644" s="14"/>
      <c r="P644" s="14"/>
      <c r="Q644" s="14"/>
      <c r="R644" s="14"/>
      <c r="S644" s="14"/>
    </row>
    <row r="645" ht="14.25" customHeight="1">
      <c r="N645" s="14"/>
      <c r="O645" s="14"/>
      <c r="P645" s="14"/>
      <c r="Q645" s="14"/>
      <c r="R645" s="14"/>
      <c r="S645" s="14"/>
    </row>
    <row r="646" ht="14.25" customHeight="1">
      <c r="N646" s="14"/>
      <c r="O646" s="14"/>
      <c r="P646" s="14"/>
      <c r="Q646" s="14"/>
      <c r="R646" s="14"/>
      <c r="S646" s="14"/>
    </row>
    <row r="647" ht="14.25" customHeight="1">
      <c r="N647" s="14"/>
      <c r="O647" s="14"/>
      <c r="P647" s="14"/>
      <c r="Q647" s="14"/>
      <c r="R647" s="14"/>
      <c r="S647" s="14"/>
    </row>
    <row r="648" ht="14.25" customHeight="1">
      <c r="N648" s="14"/>
      <c r="O648" s="14"/>
      <c r="P648" s="14"/>
      <c r="Q648" s="14"/>
      <c r="R648" s="14"/>
      <c r="S648" s="14"/>
    </row>
    <row r="649" ht="14.25" customHeight="1">
      <c r="N649" s="14"/>
      <c r="O649" s="14"/>
      <c r="P649" s="14"/>
      <c r="Q649" s="14"/>
      <c r="R649" s="14"/>
      <c r="S649" s="14"/>
    </row>
    <row r="650" ht="14.25" customHeight="1">
      <c r="N650" s="14"/>
      <c r="O650" s="14"/>
      <c r="P650" s="14"/>
      <c r="Q650" s="14"/>
      <c r="R650" s="14"/>
      <c r="S650" s="14"/>
    </row>
    <row r="651" ht="14.25" customHeight="1">
      <c r="N651" s="14"/>
      <c r="O651" s="14"/>
      <c r="P651" s="14"/>
      <c r="Q651" s="14"/>
      <c r="R651" s="14"/>
      <c r="S651" s="14"/>
    </row>
    <row r="652" ht="14.25" customHeight="1">
      <c r="N652" s="14"/>
      <c r="O652" s="14"/>
      <c r="P652" s="14"/>
      <c r="Q652" s="14"/>
      <c r="R652" s="14"/>
      <c r="S652" s="14"/>
    </row>
    <row r="653" ht="14.25" customHeight="1">
      <c r="N653" s="14"/>
      <c r="O653" s="14"/>
      <c r="P653" s="14"/>
      <c r="Q653" s="14"/>
      <c r="R653" s="14"/>
      <c r="S653" s="14"/>
    </row>
    <row r="654" ht="14.25" customHeight="1">
      <c r="N654" s="14"/>
      <c r="O654" s="14"/>
      <c r="P654" s="14"/>
      <c r="Q654" s="14"/>
      <c r="R654" s="14"/>
      <c r="S654" s="14"/>
    </row>
    <row r="655" ht="14.25" customHeight="1">
      <c r="N655" s="14"/>
      <c r="O655" s="14"/>
      <c r="P655" s="14"/>
      <c r="Q655" s="14"/>
      <c r="R655" s="14"/>
      <c r="S655" s="14"/>
    </row>
    <row r="656" ht="14.25" customHeight="1">
      <c r="N656" s="14"/>
      <c r="O656" s="14"/>
      <c r="P656" s="14"/>
      <c r="Q656" s="14"/>
      <c r="R656" s="14"/>
      <c r="S656" s="14"/>
    </row>
    <row r="657" ht="14.25" customHeight="1">
      <c r="N657" s="14"/>
      <c r="O657" s="14"/>
      <c r="P657" s="14"/>
      <c r="Q657" s="14"/>
      <c r="R657" s="14"/>
      <c r="S657" s="14"/>
    </row>
    <row r="658" ht="14.25" customHeight="1">
      <c r="N658" s="14"/>
      <c r="O658" s="14"/>
      <c r="P658" s="14"/>
      <c r="Q658" s="14"/>
      <c r="R658" s="14"/>
      <c r="S658" s="14"/>
    </row>
    <row r="659" ht="14.25" customHeight="1">
      <c r="N659" s="14"/>
      <c r="O659" s="14"/>
      <c r="P659" s="14"/>
      <c r="Q659" s="14"/>
      <c r="R659" s="14"/>
      <c r="S659" s="14"/>
    </row>
    <row r="660" ht="14.25" customHeight="1">
      <c r="N660" s="14"/>
      <c r="O660" s="14"/>
      <c r="P660" s="14"/>
      <c r="Q660" s="14"/>
      <c r="R660" s="14"/>
      <c r="S660" s="14"/>
    </row>
    <row r="661" ht="14.25" customHeight="1">
      <c r="N661" s="14"/>
      <c r="O661" s="14"/>
      <c r="P661" s="14"/>
      <c r="Q661" s="14"/>
      <c r="R661" s="14"/>
      <c r="S661" s="14"/>
    </row>
    <row r="662" ht="14.25" customHeight="1">
      <c r="N662" s="14"/>
      <c r="O662" s="14"/>
      <c r="P662" s="14"/>
      <c r="Q662" s="14"/>
      <c r="R662" s="14"/>
      <c r="S662" s="14"/>
    </row>
    <row r="663" ht="14.25" customHeight="1">
      <c r="N663" s="14"/>
      <c r="O663" s="14"/>
      <c r="P663" s="14"/>
      <c r="Q663" s="14"/>
      <c r="R663" s="14"/>
      <c r="S663" s="14"/>
    </row>
    <row r="664" ht="14.25" customHeight="1">
      <c r="N664" s="14"/>
      <c r="O664" s="14"/>
      <c r="P664" s="14"/>
      <c r="Q664" s="14"/>
      <c r="R664" s="14"/>
      <c r="S664" s="14"/>
    </row>
    <row r="665" ht="14.25" customHeight="1">
      <c r="N665" s="14"/>
      <c r="O665" s="14"/>
      <c r="P665" s="14"/>
      <c r="Q665" s="14"/>
      <c r="R665" s="14"/>
      <c r="S665" s="14"/>
    </row>
    <row r="666" ht="14.25" customHeight="1">
      <c r="N666" s="14"/>
      <c r="O666" s="14"/>
      <c r="P666" s="14"/>
      <c r="Q666" s="14"/>
      <c r="R666" s="14"/>
      <c r="S666" s="14"/>
    </row>
    <row r="667" ht="14.25" customHeight="1">
      <c r="N667" s="14"/>
      <c r="O667" s="14"/>
      <c r="P667" s="14"/>
      <c r="Q667" s="14"/>
      <c r="R667" s="14"/>
      <c r="S667" s="14"/>
    </row>
    <row r="668" ht="14.25" customHeight="1">
      <c r="N668" s="14"/>
      <c r="O668" s="14"/>
      <c r="P668" s="14"/>
      <c r="Q668" s="14"/>
      <c r="R668" s="14"/>
      <c r="S668" s="14"/>
    </row>
    <row r="669" ht="14.25" customHeight="1">
      <c r="N669" s="14"/>
      <c r="O669" s="14"/>
      <c r="P669" s="14"/>
      <c r="Q669" s="14"/>
      <c r="R669" s="14"/>
      <c r="S669" s="14"/>
    </row>
    <row r="670" ht="14.25" customHeight="1">
      <c r="N670" s="14"/>
      <c r="O670" s="14"/>
      <c r="P670" s="14"/>
      <c r="Q670" s="14"/>
      <c r="R670" s="14"/>
      <c r="S670" s="14"/>
    </row>
    <row r="671" ht="14.25" customHeight="1">
      <c r="N671" s="14"/>
      <c r="O671" s="14"/>
      <c r="P671" s="14"/>
      <c r="Q671" s="14"/>
      <c r="R671" s="14"/>
      <c r="S671" s="14"/>
    </row>
    <row r="672" ht="14.25" customHeight="1">
      <c r="N672" s="14"/>
      <c r="O672" s="14"/>
      <c r="P672" s="14"/>
      <c r="Q672" s="14"/>
      <c r="R672" s="14"/>
      <c r="S672" s="14"/>
    </row>
    <row r="673" ht="14.25" customHeight="1">
      <c r="N673" s="14"/>
      <c r="O673" s="14"/>
      <c r="P673" s="14"/>
      <c r="Q673" s="14"/>
      <c r="R673" s="14"/>
      <c r="S673" s="14"/>
    </row>
    <row r="674" ht="14.25" customHeight="1">
      <c r="N674" s="14"/>
      <c r="O674" s="14"/>
      <c r="P674" s="14"/>
      <c r="Q674" s="14"/>
      <c r="R674" s="14"/>
      <c r="S674" s="14"/>
    </row>
    <row r="675" ht="14.25" customHeight="1">
      <c r="N675" s="14"/>
      <c r="O675" s="14"/>
      <c r="P675" s="14"/>
      <c r="Q675" s="14"/>
      <c r="R675" s="14"/>
      <c r="S675" s="14"/>
    </row>
    <row r="676" ht="14.25" customHeight="1">
      <c r="N676" s="14"/>
      <c r="O676" s="14"/>
      <c r="P676" s="14"/>
      <c r="Q676" s="14"/>
      <c r="R676" s="14"/>
      <c r="S676" s="14"/>
    </row>
    <row r="677" ht="14.25" customHeight="1">
      <c r="N677" s="14"/>
      <c r="O677" s="14"/>
      <c r="P677" s="14"/>
      <c r="Q677" s="14"/>
      <c r="R677" s="14"/>
      <c r="S677" s="14"/>
    </row>
    <row r="678" ht="14.25" customHeight="1">
      <c r="N678" s="14"/>
      <c r="O678" s="14"/>
      <c r="P678" s="14"/>
      <c r="Q678" s="14"/>
      <c r="R678" s="14"/>
      <c r="S678" s="14"/>
    </row>
    <row r="679" ht="14.25" customHeight="1">
      <c r="N679" s="14"/>
      <c r="O679" s="14"/>
      <c r="P679" s="14"/>
      <c r="Q679" s="14"/>
      <c r="R679" s="14"/>
      <c r="S679" s="14"/>
    </row>
    <row r="680" ht="14.25" customHeight="1">
      <c r="N680" s="14"/>
      <c r="O680" s="14"/>
      <c r="P680" s="14"/>
      <c r="Q680" s="14"/>
      <c r="R680" s="14"/>
      <c r="S680" s="14"/>
    </row>
    <row r="681" ht="14.25" customHeight="1">
      <c r="N681" s="14"/>
      <c r="O681" s="14"/>
      <c r="P681" s="14"/>
      <c r="Q681" s="14"/>
      <c r="R681" s="14"/>
      <c r="S681" s="14"/>
    </row>
    <row r="682" ht="14.25" customHeight="1">
      <c r="N682" s="14"/>
      <c r="O682" s="14"/>
      <c r="P682" s="14"/>
      <c r="Q682" s="14"/>
      <c r="R682" s="14"/>
      <c r="S682" s="14"/>
    </row>
    <row r="683" ht="14.25" customHeight="1">
      <c r="N683" s="14"/>
      <c r="O683" s="14"/>
      <c r="P683" s="14"/>
      <c r="Q683" s="14"/>
      <c r="R683" s="14"/>
      <c r="S683" s="14"/>
    </row>
    <row r="684" ht="14.25" customHeight="1">
      <c r="N684" s="14"/>
      <c r="O684" s="14"/>
      <c r="P684" s="14"/>
      <c r="Q684" s="14"/>
      <c r="R684" s="14"/>
      <c r="S684" s="14"/>
    </row>
    <row r="685" ht="14.25" customHeight="1">
      <c r="N685" s="14"/>
      <c r="O685" s="14"/>
      <c r="P685" s="14"/>
      <c r="Q685" s="14"/>
      <c r="R685" s="14"/>
      <c r="S685" s="14"/>
    </row>
    <row r="686" ht="14.25" customHeight="1">
      <c r="N686" s="14"/>
      <c r="O686" s="14"/>
      <c r="P686" s="14"/>
      <c r="Q686" s="14"/>
      <c r="R686" s="14"/>
      <c r="S686" s="14"/>
    </row>
    <row r="687" ht="14.25" customHeight="1">
      <c r="N687" s="14"/>
      <c r="O687" s="14"/>
      <c r="P687" s="14"/>
      <c r="Q687" s="14"/>
      <c r="R687" s="14"/>
      <c r="S687" s="14"/>
    </row>
    <row r="688" ht="14.25" customHeight="1">
      <c r="N688" s="14"/>
      <c r="O688" s="14"/>
      <c r="P688" s="14"/>
      <c r="Q688" s="14"/>
      <c r="R688" s="14"/>
      <c r="S688" s="14"/>
    </row>
    <row r="689" ht="14.25" customHeight="1">
      <c r="N689" s="14"/>
      <c r="O689" s="14"/>
      <c r="P689" s="14"/>
      <c r="Q689" s="14"/>
      <c r="R689" s="14"/>
      <c r="S689" s="14"/>
    </row>
    <row r="690" ht="14.25" customHeight="1">
      <c r="N690" s="14"/>
      <c r="O690" s="14"/>
      <c r="P690" s="14"/>
      <c r="Q690" s="14"/>
      <c r="R690" s="14"/>
      <c r="S690" s="14"/>
    </row>
    <row r="691" ht="14.25" customHeight="1">
      <c r="N691" s="14"/>
      <c r="O691" s="14"/>
      <c r="P691" s="14"/>
      <c r="Q691" s="14"/>
      <c r="R691" s="14"/>
      <c r="S691" s="14"/>
    </row>
    <row r="692" ht="14.25" customHeight="1">
      <c r="N692" s="14"/>
      <c r="O692" s="14"/>
      <c r="P692" s="14"/>
      <c r="Q692" s="14"/>
      <c r="R692" s="14"/>
      <c r="S692" s="14"/>
    </row>
    <row r="693" ht="14.25" customHeight="1">
      <c r="N693" s="14"/>
      <c r="O693" s="14"/>
      <c r="P693" s="14"/>
      <c r="Q693" s="14"/>
      <c r="R693" s="14"/>
      <c r="S693" s="14"/>
    </row>
    <row r="694" ht="14.25" customHeight="1">
      <c r="N694" s="14"/>
      <c r="O694" s="14"/>
      <c r="P694" s="14"/>
      <c r="Q694" s="14"/>
      <c r="R694" s="14"/>
      <c r="S694" s="14"/>
    </row>
    <row r="695" ht="14.25" customHeight="1">
      <c r="N695" s="14"/>
      <c r="O695" s="14"/>
      <c r="P695" s="14"/>
      <c r="Q695" s="14"/>
      <c r="R695" s="14"/>
      <c r="S695" s="14"/>
    </row>
    <row r="696" ht="14.25" customHeight="1">
      <c r="N696" s="14"/>
      <c r="O696" s="14"/>
      <c r="P696" s="14"/>
      <c r="Q696" s="14"/>
      <c r="R696" s="14"/>
      <c r="S696" s="14"/>
    </row>
    <row r="697" ht="14.25" customHeight="1">
      <c r="N697" s="14"/>
      <c r="O697" s="14"/>
      <c r="P697" s="14"/>
      <c r="Q697" s="14"/>
      <c r="R697" s="14"/>
      <c r="S697" s="14"/>
    </row>
    <row r="698" ht="14.25" customHeight="1">
      <c r="N698" s="14"/>
      <c r="O698" s="14"/>
      <c r="P698" s="14"/>
      <c r="Q698" s="14"/>
      <c r="R698" s="14"/>
      <c r="S698" s="14"/>
    </row>
    <row r="699" ht="14.25" customHeight="1">
      <c r="N699" s="14"/>
      <c r="O699" s="14"/>
      <c r="P699" s="14"/>
      <c r="Q699" s="14"/>
      <c r="R699" s="14"/>
      <c r="S699" s="14"/>
    </row>
    <row r="700" ht="14.25" customHeight="1">
      <c r="N700" s="14"/>
      <c r="O700" s="14"/>
      <c r="P700" s="14"/>
      <c r="Q700" s="14"/>
      <c r="R700" s="14"/>
      <c r="S700" s="14"/>
    </row>
    <row r="701" ht="14.25" customHeight="1">
      <c r="N701" s="14"/>
      <c r="O701" s="14"/>
      <c r="P701" s="14"/>
      <c r="Q701" s="14"/>
      <c r="R701" s="14"/>
      <c r="S701" s="14"/>
    </row>
    <row r="702" ht="14.25" customHeight="1">
      <c r="N702" s="14"/>
      <c r="O702" s="14"/>
      <c r="P702" s="14"/>
      <c r="Q702" s="14"/>
      <c r="R702" s="14"/>
      <c r="S702" s="14"/>
    </row>
    <row r="703" ht="14.25" customHeight="1">
      <c r="N703" s="14"/>
      <c r="O703" s="14"/>
      <c r="P703" s="14"/>
      <c r="Q703" s="14"/>
      <c r="R703" s="14"/>
      <c r="S703" s="14"/>
    </row>
    <row r="704" ht="14.25" customHeight="1">
      <c r="N704" s="14"/>
      <c r="O704" s="14"/>
      <c r="P704" s="14"/>
      <c r="Q704" s="14"/>
      <c r="R704" s="14"/>
      <c r="S704" s="14"/>
    </row>
    <row r="705" ht="14.25" customHeight="1">
      <c r="N705" s="14"/>
      <c r="O705" s="14"/>
      <c r="P705" s="14"/>
      <c r="Q705" s="14"/>
      <c r="R705" s="14"/>
      <c r="S705" s="14"/>
    </row>
    <row r="706" ht="14.25" customHeight="1">
      <c r="N706" s="14"/>
      <c r="O706" s="14"/>
      <c r="P706" s="14"/>
      <c r="Q706" s="14"/>
      <c r="R706" s="14"/>
      <c r="S706" s="14"/>
    </row>
    <row r="707" ht="14.25" customHeight="1">
      <c r="N707" s="14"/>
      <c r="O707" s="14"/>
      <c r="P707" s="14"/>
      <c r="Q707" s="14"/>
      <c r="R707" s="14"/>
      <c r="S707" s="14"/>
    </row>
    <row r="708" ht="14.25" customHeight="1">
      <c r="N708" s="14"/>
      <c r="O708" s="14"/>
      <c r="P708" s="14"/>
      <c r="Q708" s="14"/>
      <c r="R708" s="14"/>
      <c r="S708" s="14"/>
    </row>
    <row r="709" ht="14.25" customHeight="1">
      <c r="N709" s="14"/>
      <c r="O709" s="14"/>
      <c r="P709" s="14"/>
      <c r="Q709" s="14"/>
      <c r="R709" s="14"/>
      <c r="S709" s="14"/>
    </row>
    <row r="710" ht="14.25" customHeight="1">
      <c r="N710" s="14"/>
      <c r="O710" s="14"/>
      <c r="P710" s="14"/>
      <c r="Q710" s="14"/>
      <c r="R710" s="14"/>
      <c r="S710" s="14"/>
    </row>
    <row r="711" ht="14.25" customHeight="1">
      <c r="N711" s="14"/>
      <c r="O711" s="14"/>
      <c r="P711" s="14"/>
      <c r="Q711" s="14"/>
      <c r="R711" s="14"/>
      <c r="S711" s="14"/>
    </row>
    <row r="712" ht="14.25" customHeight="1">
      <c r="N712" s="14"/>
      <c r="O712" s="14"/>
      <c r="P712" s="14"/>
      <c r="Q712" s="14"/>
      <c r="R712" s="14"/>
      <c r="S712" s="14"/>
    </row>
    <row r="713" ht="14.25" customHeight="1">
      <c r="N713" s="14"/>
      <c r="O713" s="14"/>
      <c r="P713" s="14"/>
      <c r="Q713" s="14"/>
      <c r="R713" s="14"/>
      <c r="S713" s="14"/>
    </row>
    <row r="714" ht="14.25" customHeight="1">
      <c r="N714" s="14"/>
      <c r="O714" s="14"/>
      <c r="P714" s="14"/>
      <c r="Q714" s="14"/>
      <c r="R714" s="14"/>
      <c r="S714" s="14"/>
    </row>
    <row r="715" ht="14.25" customHeight="1">
      <c r="N715" s="14"/>
      <c r="O715" s="14"/>
      <c r="P715" s="14"/>
      <c r="Q715" s="14"/>
      <c r="R715" s="14"/>
      <c r="S715" s="14"/>
    </row>
    <row r="716" ht="14.25" customHeight="1">
      <c r="N716" s="14"/>
      <c r="O716" s="14"/>
      <c r="P716" s="14"/>
      <c r="Q716" s="14"/>
      <c r="R716" s="14"/>
      <c r="S716" s="14"/>
    </row>
    <row r="717" ht="14.25" customHeight="1">
      <c r="N717" s="14"/>
      <c r="O717" s="14"/>
      <c r="P717" s="14"/>
      <c r="Q717" s="14"/>
      <c r="R717" s="14"/>
      <c r="S717" s="14"/>
    </row>
    <row r="718" ht="14.25" customHeight="1">
      <c r="N718" s="14"/>
      <c r="O718" s="14"/>
      <c r="P718" s="14"/>
      <c r="Q718" s="14"/>
      <c r="R718" s="14"/>
      <c r="S718" s="14"/>
    </row>
    <row r="719" ht="14.25" customHeight="1">
      <c r="N719" s="14"/>
      <c r="O719" s="14"/>
      <c r="P719" s="14"/>
      <c r="Q719" s="14"/>
      <c r="R719" s="14"/>
      <c r="S719" s="14"/>
    </row>
    <row r="720" ht="14.25" customHeight="1">
      <c r="N720" s="14"/>
      <c r="O720" s="14"/>
      <c r="P720" s="14"/>
      <c r="Q720" s="14"/>
      <c r="R720" s="14"/>
      <c r="S720" s="14"/>
    </row>
    <row r="721" ht="14.25" customHeight="1">
      <c r="N721" s="14"/>
      <c r="O721" s="14"/>
      <c r="P721" s="14"/>
      <c r="Q721" s="14"/>
      <c r="R721" s="14"/>
      <c r="S721" s="14"/>
    </row>
    <row r="722" ht="14.25" customHeight="1">
      <c r="N722" s="14"/>
      <c r="O722" s="14"/>
      <c r="P722" s="14"/>
      <c r="Q722" s="14"/>
      <c r="R722" s="14"/>
      <c r="S722" s="14"/>
    </row>
    <row r="723" ht="14.25" customHeight="1">
      <c r="N723" s="14"/>
      <c r="O723" s="14"/>
      <c r="P723" s="14"/>
      <c r="Q723" s="14"/>
      <c r="R723" s="14"/>
      <c r="S723" s="14"/>
    </row>
    <row r="724" ht="14.25" customHeight="1">
      <c r="N724" s="14"/>
      <c r="O724" s="14"/>
      <c r="P724" s="14"/>
      <c r="Q724" s="14"/>
      <c r="R724" s="14"/>
      <c r="S724" s="14"/>
    </row>
    <row r="725" ht="14.25" customHeight="1">
      <c r="N725" s="14"/>
      <c r="O725" s="14"/>
      <c r="P725" s="14"/>
      <c r="Q725" s="14"/>
      <c r="R725" s="14"/>
      <c r="S725" s="14"/>
    </row>
    <row r="726" ht="14.25" customHeight="1">
      <c r="N726" s="14"/>
      <c r="O726" s="14"/>
      <c r="P726" s="14"/>
      <c r="Q726" s="14"/>
      <c r="R726" s="14"/>
      <c r="S726" s="14"/>
    </row>
    <row r="727" ht="14.25" customHeight="1">
      <c r="N727" s="14"/>
      <c r="O727" s="14"/>
      <c r="P727" s="14"/>
      <c r="Q727" s="14"/>
      <c r="R727" s="14"/>
      <c r="S727" s="14"/>
    </row>
    <row r="728" ht="14.25" customHeight="1">
      <c r="N728" s="14"/>
      <c r="O728" s="14"/>
      <c r="P728" s="14"/>
      <c r="Q728" s="14"/>
      <c r="R728" s="14"/>
      <c r="S728" s="14"/>
    </row>
    <row r="729" ht="14.25" customHeight="1">
      <c r="N729" s="14"/>
      <c r="O729" s="14"/>
      <c r="P729" s="14"/>
      <c r="Q729" s="14"/>
      <c r="R729" s="14"/>
      <c r="S729" s="14"/>
    </row>
    <row r="730" ht="14.25" customHeight="1">
      <c r="N730" s="14"/>
      <c r="O730" s="14"/>
      <c r="P730" s="14"/>
      <c r="Q730" s="14"/>
      <c r="R730" s="14"/>
      <c r="S730" s="14"/>
    </row>
    <row r="731" ht="14.25" customHeight="1">
      <c r="N731" s="14"/>
      <c r="O731" s="14"/>
      <c r="P731" s="14"/>
      <c r="Q731" s="14"/>
      <c r="R731" s="14"/>
      <c r="S731" s="14"/>
    </row>
    <row r="732" ht="14.25" customHeight="1">
      <c r="N732" s="14"/>
      <c r="O732" s="14"/>
      <c r="P732" s="14"/>
      <c r="Q732" s="14"/>
      <c r="R732" s="14"/>
      <c r="S732" s="14"/>
    </row>
    <row r="733" ht="14.25" customHeight="1">
      <c r="N733" s="14"/>
      <c r="O733" s="14"/>
      <c r="P733" s="14"/>
      <c r="Q733" s="14"/>
      <c r="R733" s="14"/>
      <c r="S733" s="14"/>
    </row>
    <row r="734" ht="14.25" customHeight="1">
      <c r="N734" s="14"/>
      <c r="O734" s="14"/>
      <c r="P734" s="14"/>
      <c r="Q734" s="14"/>
      <c r="R734" s="14"/>
      <c r="S734" s="14"/>
    </row>
    <row r="735" ht="14.25" customHeight="1">
      <c r="N735" s="14"/>
      <c r="O735" s="14"/>
      <c r="P735" s="14"/>
      <c r="Q735" s="14"/>
      <c r="R735" s="14"/>
      <c r="S735" s="14"/>
    </row>
    <row r="736" ht="14.25" customHeight="1">
      <c r="N736" s="14"/>
      <c r="O736" s="14"/>
      <c r="P736" s="14"/>
      <c r="Q736" s="14"/>
      <c r="R736" s="14"/>
      <c r="S736" s="14"/>
    </row>
    <row r="737" ht="14.25" customHeight="1">
      <c r="N737" s="14"/>
      <c r="O737" s="14"/>
      <c r="P737" s="14"/>
      <c r="Q737" s="14"/>
      <c r="R737" s="14"/>
      <c r="S737" s="14"/>
    </row>
    <row r="738" ht="14.25" customHeight="1">
      <c r="N738" s="14"/>
      <c r="O738" s="14"/>
      <c r="P738" s="14"/>
      <c r="Q738" s="14"/>
      <c r="R738" s="14"/>
      <c r="S738" s="14"/>
    </row>
    <row r="739" ht="14.25" customHeight="1">
      <c r="N739" s="14"/>
      <c r="O739" s="14"/>
      <c r="P739" s="14"/>
      <c r="Q739" s="14"/>
      <c r="R739" s="14"/>
      <c r="S739" s="14"/>
    </row>
    <row r="740" ht="14.25" customHeight="1">
      <c r="N740" s="14"/>
      <c r="O740" s="14"/>
      <c r="P740" s="14"/>
      <c r="Q740" s="14"/>
      <c r="R740" s="14"/>
      <c r="S740" s="14"/>
    </row>
    <row r="741" ht="14.25" customHeight="1">
      <c r="N741" s="14"/>
      <c r="O741" s="14"/>
      <c r="P741" s="14"/>
      <c r="Q741" s="14"/>
      <c r="R741" s="14"/>
      <c r="S741" s="14"/>
    </row>
    <row r="742" ht="14.25" customHeight="1">
      <c r="N742" s="14"/>
      <c r="O742" s="14"/>
      <c r="P742" s="14"/>
      <c r="Q742" s="14"/>
      <c r="R742" s="14"/>
      <c r="S742" s="14"/>
    </row>
    <row r="743" ht="14.25" customHeight="1">
      <c r="N743" s="14"/>
      <c r="O743" s="14"/>
      <c r="P743" s="14"/>
      <c r="Q743" s="14"/>
      <c r="R743" s="14"/>
      <c r="S743" s="14"/>
    </row>
    <row r="744" ht="14.25" customHeight="1">
      <c r="N744" s="14"/>
      <c r="O744" s="14"/>
      <c r="P744" s="14"/>
      <c r="Q744" s="14"/>
      <c r="R744" s="14"/>
      <c r="S744" s="14"/>
    </row>
    <row r="745" ht="14.25" customHeight="1">
      <c r="N745" s="14"/>
      <c r="O745" s="14"/>
      <c r="P745" s="14"/>
      <c r="Q745" s="14"/>
      <c r="R745" s="14"/>
      <c r="S745" s="14"/>
    </row>
    <row r="746" ht="14.25" customHeight="1">
      <c r="N746" s="14"/>
      <c r="O746" s="14"/>
      <c r="P746" s="14"/>
      <c r="Q746" s="14"/>
      <c r="R746" s="14"/>
      <c r="S746" s="14"/>
    </row>
    <row r="747" ht="14.25" customHeight="1">
      <c r="N747" s="14"/>
      <c r="O747" s="14"/>
      <c r="P747" s="14"/>
      <c r="Q747" s="14"/>
      <c r="R747" s="14"/>
      <c r="S747" s="14"/>
    </row>
    <row r="748" ht="14.25" customHeight="1">
      <c r="N748" s="14"/>
      <c r="O748" s="14"/>
      <c r="P748" s="14"/>
      <c r="Q748" s="14"/>
      <c r="R748" s="14"/>
      <c r="S748" s="14"/>
    </row>
    <row r="749" ht="14.25" customHeight="1">
      <c r="N749" s="14"/>
      <c r="O749" s="14"/>
      <c r="P749" s="14"/>
      <c r="Q749" s="14"/>
      <c r="R749" s="14"/>
      <c r="S749" s="14"/>
    </row>
    <row r="750" ht="14.25" customHeight="1">
      <c r="N750" s="14"/>
      <c r="O750" s="14"/>
      <c r="P750" s="14"/>
      <c r="Q750" s="14"/>
      <c r="R750" s="14"/>
      <c r="S750" s="14"/>
    </row>
    <row r="751" ht="14.25" customHeight="1">
      <c r="N751" s="14"/>
      <c r="O751" s="14"/>
      <c r="P751" s="14"/>
      <c r="Q751" s="14"/>
      <c r="R751" s="14"/>
      <c r="S751" s="14"/>
    </row>
    <row r="752" ht="14.25" customHeight="1">
      <c r="N752" s="14"/>
      <c r="O752" s="14"/>
      <c r="P752" s="14"/>
      <c r="Q752" s="14"/>
      <c r="R752" s="14"/>
      <c r="S752" s="14"/>
    </row>
    <row r="753" ht="14.25" customHeight="1">
      <c r="N753" s="14"/>
      <c r="O753" s="14"/>
      <c r="P753" s="14"/>
      <c r="Q753" s="14"/>
      <c r="R753" s="14"/>
      <c r="S753" s="14"/>
    </row>
    <row r="754" ht="14.25" customHeight="1">
      <c r="N754" s="14"/>
      <c r="O754" s="14"/>
      <c r="P754" s="14"/>
      <c r="Q754" s="14"/>
      <c r="R754" s="14"/>
      <c r="S754" s="14"/>
    </row>
    <row r="755" ht="14.25" customHeight="1">
      <c r="N755" s="14"/>
      <c r="O755" s="14"/>
      <c r="P755" s="14"/>
      <c r="Q755" s="14"/>
      <c r="R755" s="14"/>
      <c r="S755" s="14"/>
    </row>
    <row r="756" ht="14.25" customHeight="1">
      <c r="N756" s="14"/>
      <c r="O756" s="14"/>
      <c r="P756" s="14"/>
      <c r="Q756" s="14"/>
      <c r="R756" s="14"/>
      <c r="S756" s="14"/>
    </row>
    <row r="757" ht="14.25" customHeight="1">
      <c r="N757" s="14"/>
      <c r="O757" s="14"/>
      <c r="P757" s="14"/>
      <c r="Q757" s="14"/>
      <c r="R757" s="14"/>
      <c r="S757" s="14"/>
    </row>
    <row r="758" ht="14.25" customHeight="1">
      <c r="N758" s="14"/>
      <c r="O758" s="14"/>
      <c r="P758" s="14"/>
      <c r="Q758" s="14"/>
      <c r="R758" s="14"/>
      <c r="S758" s="14"/>
    </row>
    <row r="759" ht="14.25" customHeight="1">
      <c r="N759" s="14"/>
      <c r="O759" s="14"/>
      <c r="P759" s="14"/>
      <c r="Q759" s="14"/>
      <c r="R759" s="14"/>
      <c r="S759" s="14"/>
    </row>
    <row r="760" ht="14.25" customHeight="1">
      <c r="N760" s="14"/>
      <c r="O760" s="14"/>
      <c r="P760" s="14"/>
      <c r="Q760" s="14"/>
      <c r="R760" s="14"/>
      <c r="S760" s="14"/>
    </row>
    <row r="761" ht="14.25" customHeight="1">
      <c r="N761" s="14"/>
      <c r="O761" s="14"/>
      <c r="P761" s="14"/>
      <c r="Q761" s="14"/>
      <c r="R761" s="14"/>
      <c r="S761" s="14"/>
    </row>
    <row r="762" ht="14.25" customHeight="1">
      <c r="N762" s="14"/>
      <c r="O762" s="14"/>
      <c r="P762" s="14"/>
      <c r="Q762" s="14"/>
      <c r="R762" s="14"/>
      <c r="S762" s="14"/>
    </row>
    <row r="763" ht="14.25" customHeight="1">
      <c r="N763" s="14"/>
      <c r="O763" s="14"/>
      <c r="P763" s="14"/>
      <c r="Q763" s="14"/>
      <c r="R763" s="14"/>
      <c r="S763" s="14"/>
    </row>
    <row r="764" ht="14.25" customHeight="1">
      <c r="N764" s="14"/>
      <c r="O764" s="14"/>
      <c r="P764" s="14"/>
      <c r="Q764" s="14"/>
      <c r="R764" s="14"/>
      <c r="S764" s="14"/>
    </row>
    <row r="765" ht="14.25" customHeight="1">
      <c r="N765" s="14"/>
      <c r="O765" s="14"/>
      <c r="P765" s="14"/>
      <c r="Q765" s="14"/>
      <c r="R765" s="14"/>
      <c r="S765" s="14"/>
    </row>
    <row r="766" ht="14.25" customHeight="1">
      <c r="N766" s="14"/>
      <c r="O766" s="14"/>
      <c r="P766" s="14"/>
      <c r="Q766" s="14"/>
      <c r="R766" s="14"/>
      <c r="S766" s="14"/>
    </row>
    <row r="767" ht="14.25" customHeight="1">
      <c r="N767" s="14"/>
      <c r="O767" s="14"/>
      <c r="P767" s="14"/>
      <c r="Q767" s="14"/>
      <c r="R767" s="14"/>
      <c r="S767" s="14"/>
    </row>
    <row r="768" ht="14.25" customHeight="1">
      <c r="N768" s="14"/>
      <c r="O768" s="14"/>
      <c r="P768" s="14"/>
      <c r="Q768" s="14"/>
      <c r="R768" s="14"/>
      <c r="S768" s="14"/>
    </row>
    <row r="769" ht="14.25" customHeight="1">
      <c r="N769" s="14"/>
      <c r="O769" s="14"/>
      <c r="P769" s="14"/>
      <c r="Q769" s="14"/>
      <c r="R769" s="14"/>
      <c r="S769" s="14"/>
    </row>
    <row r="770" ht="14.25" customHeight="1">
      <c r="N770" s="14"/>
      <c r="O770" s="14"/>
      <c r="P770" s="14"/>
      <c r="Q770" s="14"/>
      <c r="R770" s="14"/>
      <c r="S770" s="14"/>
    </row>
    <row r="771" ht="14.25" customHeight="1">
      <c r="N771" s="14"/>
      <c r="O771" s="14"/>
      <c r="P771" s="14"/>
      <c r="Q771" s="14"/>
      <c r="R771" s="14"/>
      <c r="S771" s="14"/>
    </row>
    <row r="772" ht="14.25" customHeight="1">
      <c r="N772" s="14"/>
      <c r="O772" s="14"/>
      <c r="P772" s="14"/>
      <c r="Q772" s="14"/>
      <c r="R772" s="14"/>
      <c r="S772" s="14"/>
    </row>
    <row r="773" ht="14.25" customHeight="1">
      <c r="N773" s="14"/>
      <c r="O773" s="14"/>
      <c r="P773" s="14"/>
      <c r="Q773" s="14"/>
      <c r="R773" s="14"/>
      <c r="S773" s="14"/>
    </row>
    <row r="774" ht="14.25" customHeight="1">
      <c r="N774" s="14"/>
      <c r="O774" s="14"/>
      <c r="P774" s="14"/>
      <c r="Q774" s="14"/>
      <c r="R774" s="14"/>
      <c r="S774" s="14"/>
    </row>
    <row r="775" ht="14.25" customHeight="1">
      <c r="N775" s="14"/>
      <c r="O775" s="14"/>
      <c r="P775" s="14"/>
      <c r="Q775" s="14"/>
      <c r="R775" s="14"/>
      <c r="S775" s="14"/>
    </row>
    <row r="776" ht="14.25" customHeight="1">
      <c r="N776" s="14"/>
      <c r="O776" s="14"/>
      <c r="P776" s="14"/>
      <c r="Q776" s="14"/>
      <c r="R776" s="14"/>
      <c r="S776" s="14"/>
    </row>
    <row r="777" ht="14.25" customHeight="1">
      <c r="N777" s="14"/>
      <c r="O777" s="14"/>
      <c r="P777" s="14"/>
      <c r="Q777" s="14"/>
      <c r="R777" s="14"/>
      <c r="S777" s="14"/>
    </row>
    <row r="778" ht="14.25" customHeight="1">
      <c r="N778" s="14"/>
      <c r="O778" s="14"/>
      <c r="P778" s="14"/>
      <c r="Q778" s="14"/>
      <c r="R778" s="14"/>
      <c r="S778" s="14"/>
    </row>
    <row r="779" ht="14.25" customHeight="1">
      <c r="N779" s="14"/>
      <c r="O779" s="14"/>
      <c r="P779" s="14"/>
      <c r="Q779" s="14"/>
      <c r="R779" s="14"/>
      <c r="S779" s="14"/>
    </row>
    <row r="780" ht="14.25" customHeight="1">
      <c r="N780" s="14"/>
      <c r="O780" s="14"/>
      <c r="P780" s="14"/>
      <c r="Q780" s="14"/>
      <c r="R780" s="14"/>
      <c r="S780" s="14"/>
    </row>
    <row r="781" ht="14.25" customHeight="1">
      <c r="N781" s="14"/>
      <c r="O781" s="14"/>
      <c r="P781" s="14"/>
      <c r="Q781" s="14"/>
      <c r="R781" s="14"/>
      <c r="S781" s="14"/>
    </row>
    <row r="782" ht="14.25" customHeight="1">
      <c r="N782" s="14"/>
      <c r="O782" s="14"/>
      <c r="P782" s="14"/>
      <c r="Q782" s="14"/>
      <c r="R782" s="14"/>
      <c r="S782" s="14"/>
    </row>
    <row r="783" ht="14.25" customHeight="1">
      <c r="N783" s="14"/>
      <c r="O783" s="14"/>
      <c r="P783" s="14"/>
      <c r="Q783" s="14"/>
      <c r="R783" s="14"/>
      <c r="S783" s="14"/>
    </row>
    <row r="784" ht="14.25" customHeight="1">
      <c r="N784" s="14"/>
      <c r="O784" s="14"/>
      <c r="P784" s="14"/>
      <c r="Q784" s="14"/>
      <c r="R784" s="14"/>
      <c r="S784" s="14"/>
    </row>
    <row r="785" ht="14.25" customHeight="1">
      <c r="N785" s="14"/>
      <c r="O785" s="14"/>
      <c r="P785" s="14"/>
      <c r="Q785" s="14"/>
      <c r="R785" s="14"/>
      <c r="S785" s="14"/>
    </row>
    <row r="786" ht="14.25" customHeight="1">
      <c r="N786" s="14"/>
      <c r="O786" s="14"/>
      <c r="P786" s="14"/>
      <c r="Q786" s="14"/>
      <c r="R786" s="14"/>
      <c r="S786" s="14"/>
    </row>
    <row r="787" ht="14.25" customHeight="1">
      <c r="N787" s="14"/>
      <c r="O787" s="14"/>
      <c r="P787" s="14"/>
      <c r="Q787" s="14"/>
      <c r="R787" s="14"/>
      <c r="S787" s="14"/>
    </row>
    <row r="788" ht="14.25" customHeight="1">
      <c r="N788" s="14"/>
      <c r="O788" s="14"/>
      <c r="P788" s="14"/>
      <c r="Q788" s="14"/>
      <c r="R788" s="14"/>
      <c r="S788" s="14"/>
    </row>
    <row r="789" ht="14.25" customHeight="1">
      <c r="N789" s="14"/>
      <c r="O789" s="14"/>
      <c r="P789" s="14"/>
      <c r="Q789" s="14"/>
      <c r="R789" s="14"/>
      <c r="S789" s="14"/>
    </row>
    <row r="790" ht="14.25" customHeight="1">
      <c r="N790" s="14"/>
      <c r="O790" s="14"/>
      <c r="P790" s="14"/>
      <c r="Q790" s="14"/>
      <c r="R790" s="14"/>
      <c r="S790" s="14"/>
    </row>
    <row r="791" ht="14.25" customHeight="1">
      <c r="N791" s="14"/>
      <c r="O791" s="14"/>
      <c r="P791" s="14"/>
      <c r="Q791" s="14"/>
      <c r="R791" s="14"/>
      <c r="S791" s="14"/>
    </row>
    <row r="792" ht="14.25" customHeight="1">
      <c r="N792" s="14"/>
      <c r="O792" s="14"/>
      <c r="P792" s="14"/>
      <c r="Q792" s="14"/>
      <c r="R792" s="14"/>
      <c r="S792" s="14"/>
    </row>
    <row r="793" ht="14.25" customHeight="1">
      <c r="N793" s="14"/>
      <c r="O793" s="14"/>
      <c r="P793" s="14"/>
      <c r="Q793" s="14"/>
      <c r="R793" s="14"/>
      <c r="S793" s="14"/>
    </row>
    <row r="794" ht="14.25" customHeight="1">
      <c r="N794" s="14"/>
      <c r="O794" s="14"/>
      <c r="P794" s="14"/>
      <c r="Q794" s="14"/>
      <c r="R794" s="14"/>
      <c r="S794" s="14"/>
    </row>
    <row r="795" ht="14.25" customHeight="1">
      <c r="N795" s="14"/>
      <c r="O795" s="14"/>
      <c r="P795" s="14"/>
      <c r="Q795" s="14"/>
      <c r="R795" s="14"/>
      <c r="S795" s="14"/>
    </row>
    <row r="796" ht="14.25" customHeight="1">
      <c r="N796" s="14"/>
      <c r="O796" s="14"/>
      <c r="P796" s="14"/>
      <c r="Q796" s="14"/>
      <c r="R796" s="14"/>
      <c r="S796" s="14"/>
    </row>
    <row r="797" ht="14.25" customHeight="1">
      <c r="N797" s="14"/>
      <c r="O797" s="14"/>
      <c r="P797" s="14"/>
      <c r="Q797" s="14"/>
      <c r="R797" s="14"/>
      <c r="S797" s="14"/>
    </row>
    <row r="798" ht="14.25" customHeight="1">
      <c r="N798" s="14"/>
      <c r="O798" s="14"/>
      <c r="P798" s="14"/>
      <c r="Q798" s="14"/>
      <c r="R798" s="14"/>
      <c r="S798" s="14"/>
    </row>
    <row r="799" ht="14.25" customHeight="1">
      <c r="N799" s="14"/>
      <c r="O799" s="14"/>
      <c r="P799" s="14"/>
      <c r="Q799" s="14"/>
      <c r="R799" s="14"/>
      <c r="S799" s="14"/>
    </row>
    <row r="800" ht="14.25" customHeight="1">
      <c r="N800" s="14"/>
      <c r="O800" s="14"/>
      <c r="P800" s="14"/>
      <c r="Q800" s="14"/>
      <c r="R800" s="14"/>
      <c r="S800" s="14"/>
    </row>
    <row r="801" ht="14.25" customHeight="1">
      <c r="N801" s="14"/>
      <c r="O801" s="14"/>
      <c r="P801" s="14"/>
      <c r="Q801" s="14"/>
      <c r="R801" s="14"/>
      <c r="S801" s="14"/>
    </row>
    <row r="802" ht="14.25" customHeight="1">
      <c r="N802" s="14"/>
      <c r="O802" s="14"/>
      <c r="P802" s="14"/>
      <c r="Q802" s="14"/>
      <c r="R802" s="14"/>
      <c r="S802" s="14"/>
    </row>
    <row r="803" ht="14.25" customHeight="1">
      <c r="N803" s="14"/>
      <c r="O803" s="14"/>
      <c r="P803" s="14"/>
      <c r="Q803" s="14"/>
      <c r="R803" s="14"/>
      <c r="S803" s="14"/>
    </row>
    <row r="804" ht="14.25" customHeight="1">
      <c r="N804" s="14"/>
      <c r="O804" s="14"/>
      <c r="P804" s="14"/>
      <c r="Q804" s="14"/>
      <c r="R804" s="14"/>
      <c r="S804" s="14"/>
    </row>
    <row r="805" ht="14.25" customHeight="1">
      <c r="N805" s="14"/>
      <c r="O805" s="14"/>
      <c r="P805" s="14"/>
      <c r="Q805" s="14"/>
      <c r="R805" s="14"/>
      <c r="S805" s="14"/>
    </row>
    <row r="806" ht="14.25" customHeight="1">
      <c r="N806" s="14"/>
      <c r="O806" s="14"/>
      <c r="P806" s="14"/>
      <c r="Q806" s="14"/>
      <c r="R806" s="14"/>
      <c r="S806" s="14"/>
    </row>
    <row r="807" ht="14.25" customHeight="1">
      <c r="N807" s="14"/>
      <c r="O807" s="14"/>
      <c r="P807" s="14"/>
      <c r="Q807" s="14"/>
      <c r="R807" s="14"/>
      <c r="S807" s="14"/>
    </row>
    <row r="808" ht="14.25" customHeight="1">
      <c r="N808" s="14"/>
      <c r="O808" s="14"/>
      <c r="P808" s="14"/>
      <c r="Q808" s="14"/>
      <c r="R808" s="14"/>
      <c r="S808" s="14"/>
    </row>
    <row r="809" ht="14.25" customHeight="1">
      <c r="N809" s="14"/>
      <c r="O809" s="14"/>
      <c r="P809" s="14"/>
      <c r="Q809" s="14"/>
      <c r="R809" s="14"/>
      <c r="S809" s="14"/>
    </row>
    <row r="810" ht="14.25" customHeight="1">
      <c r="N810" s="14"/>
      <c r="O810" s="14"/>
      <c r="P810" s="14"/>
      <c r="Q810" s="14"/>
      <c r="R810" s="14"/>
      <c r="S810" s="14"/>
    </row>
    <row r="811" ht="14.25" customHeight="1">
      <c r="N811" s="14"/>
      <c r="O811" s="14"/>
      <c r="P811" s="14"/>
      <c r="Q811" s="14"/>
      <c r="R811" s="14"/>
      <c r="S811" s="14"/>
    </row>
    <row r="812" ht="14.25" customHeight="1">
      <c r="N812" s="14"/>
      <c r="O812" s="14"/>
      <c r="P812" s="14"/>
      <c r="Q812" s="14"/>
      <c r="R812" s="14"/>
      <c r="S812" s="14"/>
    </row>
    <row r="813" ht="14.25" customHeight="1">
      <c r="N813" s="14"/>
      <c r="O813" s="14"/>
      <c r="P813" s="14"/>
      <c r="Q813" s="14"/>
      <c r="R813" s="14"/>
      <c r="S813" s="14"/>
    </row>
    <row r="814" ht="14.25" customHeight="1">
      <c r="N814" s="14"/>
      <c r="O814" s="14"/>
      <c r="P814" s="14"/>
      <c r="Q814" s="14"/>
      <c r="R814" s="14"/>
      <c r="S814" s="14"/>
    </row>
    <row r="815" ht="14.25" customHeight="1">
      <c r="N815" s="14"/>
      <c r="O815" s="14"/>
      <c r="P815" s="14"/>
      <c r="Q815" s="14"/>
      <c r="R815" s="14"/>
      <c r="S815" s="14"/>
    </row>
    <row r="816" ht="14.25" customHeight="1">
      <c r="N816" s="14"/>
      <c r="O816" s="14"/>
      <c r="P816" s="14"/>
      <c r="Q816" s="14"/>
      <c r="R816" s="14"/>
      <c r="S816" s="14"/>
    </row>
    <row r="817" ht="14.25" customHeight="1">
      <c r="N817" s="14"/>
      <c r="O817" s="14"/>
      <c r="P817" s="14"/>
      <c r="Q817" s="14"/>
      <c r="R817" s="14"/>
      <c r="S817" s="14"/>
    </row>
    <row r="818" ht="14.25" customHeight="1">
      <c r="N818" s="14"/>
      <c r="O818" s="14"/>
      <c r="P818" s="14"/>
      <c r="Q818" s="14"/>
      <c r="R818" s="14"/>
      <c r="S818" s="14"/>
    </row>
    <row r="819" ht="14.25" customHeight="1">
      <c r="N819" s="14"/>
      <c r="O819" s="14"/>
      <c r="P819" s="14"/>
      <c r="Q819" s="14"/>
      <c r="R819" s="14"/>
      <c r="S819" s="14"/>
    </row>
    <row r="820" ht="14.25" customHeight="1">
      <c r="N820" s="14"/>
      <c r="O820" s="14"/>
      <c r="P820" s="14"/>
      <c r="Q820" s="14"/>
      <c r="R820" s="14"/>
      <c r="S820" s="14"/>
    </row>
    <row r="821" ht="14.25" customHeight="1">
      <c r="N821" s="14"/>
      <c r="O821" s="14"/>
      <c r="P821" s="14"/>
      <c r="Q821" s="14"/>
      <c r="R821" s="14"/>
      <c r="S821" s="14"/>
    </row>
    <row r="822" ht="14.25" customHeight="1">
      <c r="N822" s="14"/>
      <c r="O822" s="14"/>
      <c r="P822" s="14"/>
      <c r="Q822" s="14"/>
      <c r="R822" s="14"/>
      <c r="S822" s="14"/>
    </row>
    <row r="823" ht="14.25" customHeight="1">
      <c r="N823" s="14"/>
      <c r="O823" s="14"/>
      <c r="P823" s="14"/>
      <c r="Q823" s="14"/>
      <c r="R823" s="14"/>
      <c r="S823" s="14"/>
    </row>
    <row r="824" ht="14.25" customHeight="1">
      <c r="N824" s="14"/>
      <c r="O824" s="14"/>
      <c r="P824" s="14"/>
      <c r="Q824" s="14"/>
      <c r="R824" s="14"/>
      <c r="S824" s="14"/>
    </row>
    <row r="825" ht="14.25" customHeight="1">
      <c r="N825" s="14"/>
      <c r="O825" s="14"/>
      <c r="P825" s="14"/>
      <c r="Q825" s="14"/>
      <c r="R825" s="14"/>
      <c r="S825" s="14"/>
    </row>
    <row r="826" ht="14.25" customHeight="1">
      <c r="N826" s="14"/>
      <c r="O826" s="14"/>
      <c r="P826" s="14"/>
      <c r="Q826" s="14"/>
      <c r="R826" s="14"/>
      <c r="S826" s="14"/>
    </row>
    <row r="827" ht="14.25" customHeight="1">
      <c r="N827" s="14"/>
      <c r="O827" s="14"/>
      <c r="P827" s="14"/>
      <c r="Q827" s="14"/>
      <c r="R827" s="14"/>
      <c r="S827" s="14"/>
    </row>
    <row r="828" ht="14.25" customHeight="1">
      <c r="N828" s="14"/>
      <c r="O828" s="14"/>
      <c r="P828" s="14"/>
      <c r="Q828" s="14"/>
      <c r="R828" s="14"/>
      <c r="S828" s="14"/>
    </row>
    <row r="829" ht="14.25" customHeight="1">
      <c r="N829" s="14"/>
      <c r="O829" s="14"/>
      <c r="P829" s="14"/>
      <c r="Q829" s="14"/>
      <c r="R829" s="14"/>
      <c r="S829" s="14"/>
    </row>
    <row r="830" ht="14.25" customHeight="1">
      <c r="N830" s="14"/>
      <c r="O830" s="14"/>
      <c r="P830" s="14"/>
      <c r="Q830" s="14"/>
      <c r="R830" s="14"/>
      <c r="S830" s="14"/>
    </row>
    <row r="831" ht="14.25" customHeight="1">
      <c r="N831" s="14"/>
      <c r="O831" s="14"/>
      <c r="P831" s="14"/>
      <c r="Q831" s="14"/>
      <c r="R831" s="14"/>
      <c r="S831" s="14"/>
    </row>
    <row r="832" ht="14.25" customHeight="1">
      <c r="N832" s="14"/>
      <c r="O832" s="14"/>
      <c r="P832" s="14"/>
      <c r="Q832" s="14"/>
      <c r="R832" s="14"/>
      <c r="S832" s="14"/>
    </row>
    <row r="833" ht="14.25" customHeight="1">
      <c r="N833" s="14"/>
      <c r="O833" s="14"/>
      <c r="P833" s="14"/>
      <c r="Q833" s="14"/>
      <c r="R833" s="14"/>
      <c r="S833" s="14"/>
    </row>
    <row r="834" ht="14.25" customHeight="1">
      <c r="N834" s="14"/>
      <c r="O834" s="14"/>
      <c r="P834" s="14"/>
      <c r="Q834" s="14"/>
      <c r="R834" s="14"/>
      <c r="S834" s="14"/>
    </row>
    <row r="835" ht="14.25" customHeight="1">
      <c r="N835" s="14"/>
      <c r="O835" s="14"/>
      <c r="P835" s="14"/>
      <c r="Q835" s="14"/>
      <c r="R835" s="14"/>
      <c r="S835" s="14"/>
    </row>
    <row r="836" ht="14.25" customHeight="1">
      <c r="N836" s="14"/>
      <c r="O836" s="14"/>
      <c r="P836" s="14"/>
      <c r="Q836" s="14"/>
      <c r="R836" s="14"/>
      <c r="S836" s="14"/>
    </row>
    <row r="837" ht="14.25" customHeight="1">
      <c r="N837" s="14"/>
      <c r="O837" s="14"/>
      <c r="P837" s="14"/>
      <c r="Q837" s="14"/>
      <c r="R837" s="14"/>
      <c r="S837" s="14"/>
    </row>
    <row r="838" ht="14.25" customHeight="1">
      <c r="N838" s="14"/>
      <c r="O838" s="14"/>
      <c r="P838" s="14"/>
      <c r="Q838" s="14"/>
      <c r="R838" s="14"/>
      <c r="S838" s="14"/>
    </row>
    <row r="839" ht="14.25" customHeight="1">
      <c r="N839" s="14"/>
      <c r="O839" s="14"/>
      <c r="P839" s="14"/>
      <c r="Q839" s="14"/>
      <c r="R839" s="14"/>
      <c r="S839" s="14"/>
    </row>
    <row r="840" ht="14.25" customHeight="1">
      <c r="N840" s="14"/>
      <c r="O840" s="14"/>
      <c r="P840" s="14"/>
      <c r="Q840" s="14"/>
      <c r="R840" s="14"/>
      <c r="S840" s="14"/>
    </row>
    <row r="841" ht="14.25" customHeight="1">
      <c r="N841" s="14"/>
      <c r="O841" s="14"/>
      <c r="P841" s="14"/>
      <c r="Q841" s="14"/>
      <c r="R841" s="14"/>
      <c r="S841" s="14"/>
    </row>
    <row r="842" ht="14.25" customHeight="1">
      <c r="N842" s="14"/>
      <c r="O842" s="14"/>
      <c r="P842" s="14"/>
      <c r="Q842" s="14"/>
      <c r="R842" s="14"/>
      <c r="S842" s="14"/>
    </row>
    <row r="843" ht="14.25" customHeight="1">
      <c r="N843" s="14"/>
      <c r="O843" s="14"/>
      <c r="P843" s="14"/>
      <c r="Q843" s="14"/>
      <c r="R843" s="14"/>
      <c r="S843" s="14"/>
    </row>
    <row r="844" ht="14.25" customHeight="1">
      <c r="N844" s="14"/>
      <c r="O844" s="14"/>
      <c r="P844" s="14"/>
      <c r="Q844" s="14"/>
      <c r="R844" s="14"/>
      <c r="S844" s="14"/>
    </row>
    <row r="845" ht="14.25" customHeight="1">
      <c r="N845" s="14"/>
      <c r="O845" s="14"/>
      <c r="P845" s="14"/>
      <c r="Q845" s="14"/>
      <c r="R845" s="14"/>
      <c r="S845" s="14"/>
    </row>
    <row r="846" ht="14.25" customHeight="1">
      <c r="N846" s="14"/>
      <c r="O846" s="14"/>
      <c r="P846" s="14"/>
      <c r="Q846" s="14"/>
      <c r="R846" s="14"/>
      <c r="S846" s="14"/>
    </row>
    <row r="847" ht="14.25" customHeight="1">
      <c r="N847" s="14"/>
      <c r="O847" s="14"/>
      <c r="P847" s="14"/>
      <c r="Q847" s="14"/>
      <c r="R847" s="14"/>
      <c r="S847" s="14"/>
    </row>
    <row r="848" ht="14.25" customHeight="1">
      <c r="N848" s="14"/>
      <c r="O848" s="14"/>
      <c r="P848" s="14"/>
      <c r="Q848" s="14"/>
      <c r="R848" s="14"/>
      <c r="S848" s="14"/>
    </row>
    <row r="849" ht="14.25" customHeight="1">
      <c r="N849" s="14"/>
      <c r="O849" s="14"/>
      <c r="P849" s="14"/>
      <c r="Q849" s="14"/>
      <c r="R849" s="14"/>
      <c r="S849" s="14"/>
    </row>
    <row r="850" ht="14.25" customHeight="1">
      <c r="N850" s="14"/>
      <c r="O850" s="14"/>
      <c r="P850" s="14"/>
      <c r="Q850" s="14"/>
      <c r="R850" s="14"/>
      <c r="S850" s="14"/>
    </row>
    <row r="851" ht="14.25" customHeight="1">
      <c r="N851" s="14"/>
      <c r="O851" s="14"/>
      <c r="P851" s="14"/>
      <c r="Q851" s="14"/>
      <c r="R851" s="14"/>
      <c r="S851" s="14"/>
    </row>
    <row r="852" ht="14.25" customHeight="1">
      <c r="N852" s="14"/>
      <c r="O852" s="14"/>
      <c r="P852" s="14"/>
      <c r="Q852" s="14"/>
      <c r="R852" s="14"/>
      <c r="S852" s="14"/>
    </row>
    <row r="853" ht="14.25" customHeight="1">
      <c r="N853" s="14"/>
      <c r="O853" s="14"/>
      <c r="P853" s="14"/>
      <c r="Q853" s="14"/>
      <c r="R853" s="14"/>
      <c r="S853" s="14"/>
    </row>
    <row r="854" ht="14.25" customHeight="1">
      <c r="N854" s="14"/>
      <c r="O854" s="14"/>
      <c r="P854" s="14"/>
      <c r="Q854" s="14"/>
      <c r="R854" s="14"/>
      <c r="S854" s="14"/>
    </row>
    <row r="855" ht="14.25" customHeight="1">
      <c r="N855" s="14"/>
      <c r="O855" s="14"/>
      <c r="P855" s="14"/>
      <c r="Q855" s="14"/>
      <c r="R855" s="14"/>
      <c r="S855" s="14"/>
    </row>
    <row r="856" ht="14.25" customHeight="1">
      <c r="N856" s="14"/>
      <c r="O856" s="14"/>
      <c r="P856" s="14"/>
      <c r="Q856" s="14"/>
      <c r="R856" s="14"/>
      <c r="S856" s="14"/>
    </row>
    <row r="857" ht="14.25" customHeight="1">
      <c r="N857" s="14"/>
      <c r="O857" s="14"/>
      <c r="P857" s="14"/>
      <c r="Q857" s="14"/>
      <c r="R857" s="14"/>
      <c r="S857" s="14"/>
    </row>
    <row r="858" ht="14.25" customHeight="1">
      <c r="N858" s="14"/>
      <c r="O858" s="14"/>
      <c r="P858" s="14"/>
      <c r="Q858" s="14"/>
      <c r="R858" s="14"/>
      <c r="S858" s="14"/>
    </row>
    <row r="859" ht="14.25" customHeight="1">
      <c r="N859" s="14"/>
      <c r="O859" s="14"/>
      <c r="P859" s="14"/>
      <c r="Q859" s="14"/>
      <c r="R859" s="14"/>
      <c r="S859" s="14"/>
    </row>
    <row r="860" ht="14.25" customHeight="1">
      <c r="N860" s="14"/>
      <c r="O860" s="14"/>
      <c r="P860" s="14"/>
      <c r="Q860" s="14"/>
      <c r="R860" s="14"/>
      <c r="S860" s="14"/>
    </row>
    <row r="861" ht="14.25" customHeight="1">
      <c r="N861" s="14"/>
      <c r="O861" s="14"/>
      <c r="P861" s="14"/>
      <c r="Q861" s="14"/>
      <c r="R861" s="14"/>
      <c r="S861" s="14"/>
    </row>
    <row r="862" ht="14.25" customHeight="1">
      <c r="N862" s="14"/>
      <c r="O862" s="14"/>
      <c r="P862" s="14"/>
      <c r="Q862" s="14"/>
      <c r="R862" s="14"/>
      <c r="S862" s="14"/>
    </row>
    <row r="863" ht="14.25" customHeight="1">
      <c r="N863" s="14"/>
      <c r="O863" s="14"/>
      <c r="P863" s="14"/>
      <c r="Q863" s="14"/>
      <c r="R863" s="14"/>
      <c r="S863" s="14"/>
    </row>
    <row r="864" ht="14.25" customHeight="1">
      <c r="N864" s="14"/>
      <c r="O864" s="14"/>
      <c r="P864" s="14"/>
      <c r="Q864" s="14"/>
      <c r="R864" s="14"/>
      <c r="S864" s="14"/>
    </row>
    <row r="865" ht="14.25" customHeight="1">
      <c r="N865" s="14"/>
      <c r="O865" s="14"/>
      <c r="P865" s="14"/>
      <c r="Q865" s="14"/>
      <c r="R865" s="14"/>
      <c r="S865" s="14"/>
    </row>
    <row r="866" ht="14.25" customHeight="1">
      <c r="N866" s="14"/>
      <c r="O866" s="14"/>
      <c r="P866" s="14"/>
      <c r="Q866" s="14"/>
      <c r="R866" s="14"/>
      <c r="S866" s="14"/>
    </row>
    <row r="867" ht="14.25" customHeight="1">
      <c r="N867" s="14"/>
      <c r="O867" s="14"/>
      <c r="P867" s="14"/>
      <c r="Q867" s="14"/>
      <c r="R867" s="14"/>
      <c r="S867" s="14"/>
    </row>
    <row r="868" ht="14.25" customHeight="1">
      <c r="N868" s="14"/>
      <c r="O868" s="14"/>
      <c r="P868" s="14"/>
      <c r="Q868" s="14"/>
      <c r="R868" s="14"/>
      <c r="S868" s="14"/>
    </row>
    <row r="869" ht="14.25" customHeight="1">
      <c r="N869" s="14"/>
      <c r="O869" s="14"/>
      <c r="P869" s="14"/>
      <c r="Q869" s="14"/>
      <c r="R869" s="14"/>
      <c r="S869" s="14"/>
    </row>
    <row r="870" ht="14.25" customHeight="1">
      <c r="N870" s="14"/>
      <c r="O870" s="14"/>
      <c r="P870" s="14"/>
      <c r="Q870" s="14"/>
      <c r="R870" s="14"/>
      <c r="S870" s="14"/>
    </row>
    <row r="871" ht="14.25" customHeight="1">
      <c r="N871" s="14"/>
      <c r="O871" s="14"/>
      <c r="P871" s="14"/>
      <c r="Q871" s="14"/>
      <c r="R871" s="14"/>
      <c r="S871" s="14"/>
    </row>
    <row r="872" ht="14.25" customHeight="1">
      <c r="N872" s="14"/>
      <c r="O872" s="14"/>
      <c r="P872" s="14"/>
      <c r="Q872" s="14"/>
      <c r="R872" s="14"/>
      <c r="S872" s="14"/>
    </row>
    <row r="873" ht="14.25" customHeight="1">
      <c r="N873" s="14"/>
      <c r="O873" s="14"/>
      <c r="P873" s="14"/>
      <c r="Q873" s="14"/>
      <c r="R873" s="14"/>
      <c r="S873" s="14"/>
    </row>
    <row r="874" ht="14.25" customHeight="1">
      <c r="N874" s="14"/>
      <c r="O874" s="14"/>
      <c r="P874" s="14"/>
      <c r="Q874" s="14"/>
      <c r="R874" s="14"/>
      <c r="S874" s="14"/>
    </row>
    <row r="875" ht="14.25" customHeight="1">
      <c r="N875" s="14"/>
      <c r="O875" s="14"/>
      <c r="P875" s="14"/>
      <c r="Q875" s="14"/>
      <c r="R875" s="14"/>
      <c r="S875" s="14"/>
    </row>
    <row r="876" ht="14.25" customHeight="1">
      <c r="N876" s="14"/>
      <c r="O876" s="14"/>
      <c r="P876" s="14"/>
      <c r="Q876" s="14"/>
      <c r="R876" s="14"/>
      <c r="S876" s="14"/>
    </row>
    <row r="877" ht="14.25" customHeight="1">
      <c r="N877" s="14"/>
      <c r="O877" s="14"/>
      <c r="P877" s="14"/>
      <c r="Q877" s="14"/>
      <c r="R877" s="14"/>
      <c r="S877" s="14"/>
    </row>
    <row r="878" ht="14.25" customHeight="1">
      <c r="N878" s="14"/>
      <c r="O878" s="14"/>
      <c r="P878" s="14"/>
      <c r="Q878" s="14"/>
      <c r="R878" s="14"/>
      <c r="S878" s="14"/>
    </row>
    <row r="879" ht="14.25" customHeight="1">
      <c r="N879" s="14"/>
      <c r="O879" s="14"/>
      <c r="P879" s="14"/>
      <c r="Q879" s="14"/>
      <c r="R879" s="14"/>
      <c r="S879" s="14"/>
    </row>
    <row r="880" ht="14.25" customHeight="1">
      <c r="N880" s="14"/>
      <c r="O880" s="14"/>
      <c r="P880" s="14"/>
      <c r="Q880" s="14"/>
      <c r="R880" s="14"/>
      <c r="S880" s="14"/>
    </row>
    <row r="881" ht="14.25" customHeight="1">
      <c r="N881" s="14"/>
      <c r="O881" s="14"/>
      <c r="P881" s="14"/>
      <c r="Q881" s="14"/>
      <c r="R881" s="14"/>
      <c r="S881" s="14"/>
    </row>
    <row r="882" ht="14.25" customHeight="1">
      <c r="N882" s="14"/>
      <c r="O882" s="14"/>
      <c r="P882" s="14"/>
      <c r="Q882" s="14"/>
      <c r="R882" s="14"/>
      <c r="S882" s="14"/>
    </row>
    <row r="883" ht="14.25" customHeight="1">
      <c r="N883" s="14"/>
      <c r="O883" s="14"/>
      <c r="P883" s="14"/>
      <c r="Q883" s="14"/>
      <c r="R883" s="14"/>
      <c r="S883" s="14"/>
    </row>
    <row r="884" ht="14.25" customHeight="1">
      <c r="N884" s="14"/>
      <c r="O884" s="14"/>
      <c r="P884" s="14"/>
      <c r="Q884" s="14"/>
      <c r="R884" s="14"/>
      <c r="S884" s="14"/>
    </row>
    <row r="885" ht="14.25" customHeight="1">
      <c r="N885" s="14"/>
      <c r="O885" s="14"/>
      <c r="P885" s="14"/>
      <c r="Q885" s="14"/>
      <c r="R885" s="14"/>
      <c r="S885" s="14"/>
    </row>
    <row r="886" ht="14.25" customHeight="1">
      <c r="N886" s="14"/>
      <c r="O886" s="14"/>
      <c r="P886" s="14"/>
      <c r="Q886" s="14"/>
      <c r="R886" s="14"/>
      <c r="S886" s="14"/>
    </row>
    <row r="887" ht="14.25" customHeight="1">
      <c r="N887" s="14"/>
      <c r="O887" s="14"/>
      <c r="P887" s="14"/>
      <c r="Q887" s="14"/>
      <c r="R887" s="14"/>
      <c r="S887" s="14"/>
    </row>
    <row r="888" ht="14.25" customHeight="1">
      <c r="N888" s="14"/>
      <c r="O888" s="14"/>
      <c r="P888" s="14"/>
      <c r="Q888" s="14"/>
      <c r="R888" s="14"/>
      <c r="S888" s="14"/>
    </row>
    <row r="889" ht="14.25" customHeight="1">
      <c r="N889" s="14"/>
      <c r="O889" s="14"/>
      <c r="P889" s="14"/>
      <c r="Q889" s="14"/>
      <c r="R889" s="14"/>
      <c r="S889" s="14"/>
    </row>
    <row r="890" ht="14.25" customHeight="1">
      <c r="N890" s="14"/>
      <c r="O890" s="14"/>
      <c r="P890" s="14"/>
      <c r="Q890" s="14"/>
      <c r="R890" s="14"/>
      <c r="S890" s="14"/>
    </row>
    <row r="891" ht="14.25" customHeight="1">
      <c r="N891" s="14"/>
      <c r="O891" s="14"/>
      <c r="P891" s="14"/>
      <c r="Q891" s="14"/>
      <c r="R891" s="14"/>
      <c r="S891" s="14"/>
    </row>
    <row r="892" ht="14.25" customHeight="1">
      <c r="N892" s="14"/>
      <c r="O892" s="14"/>
      <c r="P892" s="14"/>
      <c r="Q892" s="14"/>
      <c r="R892" s="14"/>
      <c r="S892" s="14"/>
    </row>
    <row r="893" ht="14.25" customHeight="1">
      <c r="N893" s="14"/>
      <c r="O893" s="14"/>
      <c r="P893" s="14"/>
      <c r="Q893" s="14"/>
      <c r="R893" s="14"/>
      <c r="S893" s="14"/>
    </row>
    <row r="894" ht="14.25" customHeight="1">
      <c r="N894" s="14"/>
      <c r="O894" s="14"/>
      <c r="P894" s="14"/>
      <c r="Q894" s="14"/>
      <c r="R894" s="14"/>
      <c r="S894" s="14"/>
    </row>
    <row r="895" ht="14.25" customHeight="1">
      <c r="N895" s="14"/>
      <c r="O895" s="14"/>
      <c r="P895" s="14"/>
      <c r="Q895" s="14"/>
      <c r="R895" s="14"/>
      <c r="S895" s="14"/>
    </row>
    <row r="896" ht="14.25" customHeight="1">
      <c r="N896" s="14"/>
      <c r="O896" s="14"/>
      <c r="P896" s="14"/>
      <c r="Q896" s="14"/>
      <c r="R896" s="14"/>
      <c r="S896" s="14"/>
    </row>
    <row r="897" ht="14.25" customHeight="1">
      <c r="N897" s="14"/>
      <c r="O897" s="14"/>
      <c r="P897" s="14"/>
      <c r="Q897" s="14"/>
      <c r="R897" s="14"/>
      <c r="S897" s="14"/>
    </row>
    <row r="898" ht="14.25" customHeight="1">
      <c r="N898" s="14"/>
      <c r="O898" s="14"/>
      <c r="P898" s="14"/>
      <c r="Q898" s="14"/>
      <c r="R898" s="14"/>
      <c r="S898" s="14"/>
    </row>
    <row r="899" ht="14.25" customHeight="1">
      <c r="N899" s="14"/>
      <c r="O899" s="14"/>
      <c r="P899" s="14"/>
      <c r="Q899" s="14"/>
      <c r="R899" s="14"/>
      <c r="S899" s="14"/>
    </row>
    <row r="900" ht="14.25" customHeight="1">
      <c r="N900" s="14"/>
      <c r="O900" s="14"/>
      <c r="P900" s="14"/>
      <c r="Q900" s="14"/>
      <c r="R900" s="14"/>
      <c r="S900" s="14"/>
    </row>
    <row r="901" ht="14.25" customHeight="1">
      <c r="N901" s="14"/>
      <c r="O901" s="14"/>
      <c r="P901" s="14"/>
      <c r="Q901" s="14"/>
      <c r="R901" s="14"/>
      <c r="S901" s="14"/>
    </row>
    <row r="902" ht="14.25" customHeight="1">
      <c r="N902" s="14"/>
      <c r="O902" s="14"/>
      <c r="P902" s="14"/>
      <c r="Q902" s="14"/>
      <c r="R902" s="14"/>
      <c r="S902" s="14"/>
    </row>
    <row r="903" ht="14.25" customHeight="1">
      <c r="N903" s="14"/>
      <c r="O903" s="14"/>
      <c r="P903" s="14"/>
      <c r="Q903" s="14"/>
      <c r="R903" s="14"/>
      <c r="S903" s="14"/>
    </row>
    <row r="904" ht="14.25" customHeight="1">
      <c r="N904" s="14"/>
      <c r="O904" s="14"/>
      <c r="P904" s="14"/>
      <c r="Q904" s="14"/>
      <c r="R904" s="14"/>
      <c r="S904" s="14"/>
    </row>
    <row r="905" ht="14.25" customHeight="1">
      <c r="N905" s="14"/>
      <c r="O905" s="14"/>
      <c r="P905" s="14"/>
      <c r="Q905" s="14"/>
      <c r="R905" s="14"/>
      <c r="S905" s="14"/>
    </row>
    <row r="906" ht="14.25" customHeight="1">
      <c r="N906" s="14"/>
      <c r="O906" s="14"/>
      <c r="P906" s="14"/>
      <c r="Q906" s="14"/>
      <c r="R906" s="14"/>
      <c r="S906" s="14"/>
    </row>
    <row r="907" ht="14.25" customHeight="1">
      <c r="N907" s="14"/>
      <c r="O907" s="14"/>
      <c r="P907" s="14"/>
      <c r="Q907" s="14"/>
      <c r="R907" s="14"/>
      <c r="S907" s="14"/>
    </row>
    <row r="908" ht="14.25" customHeight="1">
      <c r="N908" s="14"/>
      <c r="O908" s="14"/>
      <c r="P908" s="14"/>
      <c r="Q908" s="14"/>
      <c r="R908" s="14"/>
      <c r="S908" s="14"/>
    </row>
    <row r="909" ht="14.25" customHeight="1">
      <c r="N909" s="14"/>
      <c r="O909" s="14"/>
      <c r="P909" s="14"/>
      <c r="Q909" s="14"/>
      <c r="R909" s="14"/>
      <c r="S909" s="14"/>
    </row>
    <row r="910" ht="14.25" customHeight="1">
      <c r="N910" s="14"/>
      <c r="O910" s="14"/>
      <c r="P910" s="14"/>
      <c r="Q910" s="14"/>
      <c r="R910" s="14"/>
      <c r="S910" s="14"/>
    </row>
    <row r="911" ht="14.25" customHeight="1">
      <c r="N911" s="14"/>
      <c r="O911" s="14"/>
      <c r="P911" s="14"/>
      <c r="Q911" s="14"/>
      <c r="R911" s="14"/>
      <c r="S911" s="14"/>
    </row>
    <row r="912" ht="14.25" customHeight="1">
      <c r="N912" s="14"/>
      <c r="O912" s="14"/>
      <c r="P912" s="14"/>
      <c r="Q912" s="14"/>
      <c r="R912" s="14"/>
      <c r="S912" s="14"/>
    </row>
    <row r="913" ht="14.25" customHeight="1">
      <c r="N913" s="14"/>
      <c r="O913" s="14"/>
      <c r="P913" s="14"/>
      <c r="Q913" s="14"/>
      <c r="R913" s="14"/>
      <c r="S913" s="14"/>
    </row>
    <row r="914" ht="14.25" customHeight="1">
      <c r="N914" s="14"/>
      <c r="O914" s="14"/>
      <c r="P914" s="14"/>
      <c r="Q914" s="14"/>
      <c r="R914" s="14"/>
      <c r="S914" s="14"/>
    </row>
    <row r="915" ht="14.25" customHeight="1">
      <c r="N915" s="14"/>
      <c r="O915" s="14"/>
      <c r="P915" s="14"/>
      <c r="Q915" s="14"/>
      <c r="R915" s="14"/>
      <c r="S915" s="14"/>
    </row>
    <row r="916" ht="14.25" customHeight="1">
      <c r="N916" s="14"/>
      <c r="O916" s="14"/>
      <c r="P916" s="14"/>
      <c r="Q916" s="14"/>
      <c r="R916" s="14"/>
      <c r="S916" s="14"/>
    </row>
    <row r="917" ht="14.25" customHeight="1">
      <c r="N917" s="14"/>
      <c r="O917" s="14"/>
      <c r="P917" s="14"/>
      <c r="Q917" s="14"/>
      <c r="R917" s="14"/>
      <c r="S917" s="14"/>
    </row>
    <row r="918" ht="14.25" customHeight="1">
      <c r="N918" s="14"/>
      <c r="O918" s="14"/>
      <c r="P918" s="14"/>
      <c r="Q918" s="14"/>
      <c r="R918" s="14"/>
      <c r="S918" s="14"/>
    </row>
    <row r="919" ht="14.25" customHeight="1">
      <c r="N919" s="14"/>
      <c r="O919" s="14"/>
      <c r="P919" s="14"/>
      <c r="Q919" s="14"/>
      <c r="R919" s="14"/>
      <c r="S919" s="14"/>
    </row>
    <row r="920" ht="14.25" customHeight="1">
      <c r="N920" s="14"/>
      <c r="O920" s="14"/>
      <c r="P920" s="14"/>
      <c r="Q920" s="14"/>
      <c r="R920" s="14"/>
      <c r="S920" s="14"/>
    </row>
    <row r="921" ht="14.25" customHeight="1">
      <c r="N921" s="14"/>
      <c r="O921" s="14"/>
      <c r="P921" s="14"/>
      <c r="Q921" s="14"/>
      <c r="R921" s="14"/>
      <c r="S921" s="14"/>
    </row>
    <row r="922" ht="14.25" customHeight="1">
      <c r="N922" s="14"/>
      <c r="O922" s="14"/>
      <c r="P922" s="14"/>
      <c r="Q922" s="14"/>
      <c r="R922" s="14"/>
      <c r="S922" s="14"/>
    </row>
    <row r="923" ht="14.25" customHeight="1">
      <c r="N923" s="14"/>
      <c r="O923" s="14"/>
      <c r="P923" s="14"/>
      <c r="Q923" s="14"/>
      <c r="R923" s="14"/>
      <c r="S923" s="14"/>
    </row>
    <row r="924" ht="14.25" customHeight="1">
      <c r="N924" s="14"/>
      <c r="O924" s="14"/>
      <c r="P924" s="14"/>
      <c r="Q924" s="14"/>
      <c r="R924" s="14"/>
      <c r="S924" s="14"/>
    </row>
    <row r="925" ht="14.25" customHeight="1">
      <c r="N925" s="14"/>
      <c r="O925" s="14"/>
      <c r="P925" s="14"/>
      <c r="Q925" s="14"/>
      <c r="R925" s="14"/>
      <c r="S925" s="14"/>
    </row>
    <row r="926" ht="14.25" customHeight="1">
      <c r="N926" s="14"/>
      <c r="O926" s="14"/>
      <c r="P926" s="14"/>
      <c r="Q926" s="14"/>
      <c r="R926" s="14"/>
      <c r="S926" s="14"/>
    </row>
    <row r="927" ht="14.25" customHeight="1">
      <c r="N927" s="14"/>
      <c r="O927" s="14"/>
      <c r="P927" s="14"/>
      <c r="Q927" s="14"/>
      <c r="R927" s="14"/>
      <c r="S927" s="14"/>
    </row>
    <row r="928" ht="14.25" customHeight="1">
      <c r="N928" s="14"/>
      <c r="O928" s="14"/>
      <c r="P928" s="14"/>
      <c r="Q928" s="14"/>
      <c r="R928" s="14"/>
      <c r="S928" s="14"/>
    </row>
    <row r="929" ht="14.25" customHeight="1">
      <c r="N929" s="14"/>
      <c r="O929" s="14"/>
      <c r="P929" s="14"/>
      <c r="Q929" s="14"/>
      <c r="R929" s="14"/>
      <c r="S929" s="14"/>
    </row>
    <row r="930" ht="14.25" customHeight="1">
      <c r="N930" s="14"/>
      <c r="O930" s="14"/>
      <c r="P930" s="14"/>
      <c r="Q930" s="14"/>
      <c r="R930" s="14"/>
      <c r="S930" s="14"/>
    </row>
    <row r="931" ht="14.25" customHeight="1">
      <c r="N931" s="14"/>
      <c r="O931" s="14"/>
      <c r="P931" s="14"/>
      <c r="Q931" s="14"/>
      <c r="R931" s="14"/>
      <c r="S931" s="14"/>
    </row>
    <row r="932" ht="14.25" customHeight="1">
      <c r="N932" s="14"/>
      <c r="O932" s="14"/>
      <c r="P932" s="14"/>
      <c r="Q932" s="14"/>
      <c r="R932" s="14"/>
      <c r="S932" s="14"/>
    </row>
    <row r="933" ht="14.25" customHeight="1">
      <c r="N933" s="14"/>
      <c r="O933" s="14"/>
      <c r="P933" s="14"/>
      <c r="Q933" s="14"/>
      <c r="R933" s="14"/>
      <c r="S933" s="14"/>
    </row>
    <row r="934" ht="14.25" customHeight="1">
      <c r="N934" s="14"/>
      <c r="O934" s="14"/>
      <c r="P934" s="14"/>
      <c r="Q934" s="14"/>
      <c r="R934" s="14"/>
      <c r="S934" s="14"/>
    </row>
    <row r="935" ht="14.25" customHeight="1">
      <c r="N935" s="14"/>
      <c r="O935" s="14"/>
      <c r="P935" s="14"/>
      <c r="Q935" s="14"/>
      <c r="R935" s="14"/>
      <c r="S935" s="14"/>
    </row>
    <row r="936" ht="14.25" customHeight="1">
      <c r="N936" s="14"/>
      <c r="O936" s="14"/>
      <c r="P936" s="14"/>
      <c r="Q936" s="14"/>
      <c r="R936" s="14"/>
      <c r="S936" s="14"/>
    </row>
    <row r="937" ht="14.25" customHeight="1">
      <c r="N937" s="14"/>
      <c r="O937" s="14"/>
      <c r="P937" s="14"/>
      <c r="Q937" s="14"/>
      <c r="R937" s="14"/>
      <c r="S937" s="14"/>
    </row>
    <row r="938" ht="14.25" customHeight="1">
      <c r="N938" s="14"/>
      <c r="O938" s="14"/>
      <c r="P938" s="14"/>
      <c r="Q938" s="14"/>
      <c r="R938" s="14"/>
      <c r="S938" s="14"/>
    </row>
    <row r="939" ht="14.25" customHeight="1">
      <c r="N939" s="14"/>
      <c r="O939" s="14"/>
      <c r="P939" s="14"/>
      <c r="Q939" s="14"/>
      <c r="R939" s="14"/>
      <c r="S939" s="14"/>
    </row>
    <row r="940" ht="14.25" customHeight="1">
      <c r="N940" s="14"/>
      <c r="O940" s="14"/>
      <c r="P940" s="14"/>
      <c r="Q940" s="14"/>
      <c r="R940" s="14"/>
      <c r="S940" s="14"/>
    </row>
    <row r="941" ht="14.25" customHeight="1">
      <c r="N941" s="14"/>
      <c r="O941" s="14"/>
      <c r="P941" s="14"/>
      <c r="Q941" s="14"/>
      <c r="R941" s="14"/>
      <c r="S941" s="14"/>
    </row>
    <row r="942" ht="14.25" customHeight="1">
      <c r="N942" s="14"/>
      <c r="O942" s="14"/>
      <c r="P942" s="14"/>
      <c r="Q942" s="14"/>
      <c r="R942" s="14"/>
      <c r="S942" s="14"/>
    </row>
    <row r="943" ht="14.25" customHeight="1">
      <c r="N943" s="14"/>
      <c r="O943" s="14"/>
      <c r="P943" s="14"/>
      <c r="Q943" s="14"/>
      <c r="R943" s="14"/>
      <c r="S943" s="14"/>
    </row>
    <row r="944" ht="14.25" customHeight="1">
      <c r="N944" s="14"/>
      <c r="O944" s="14"/>
      <c r="P944" s="14"/>
      <c r="Q944" s="14"/>
      <c r="R944" s="14"/>
      <c r="S944" s="14"/>
    </row>
    <row r="945" ht="14.25" customHeight="1">
      <c r="N945" s="14"/>
      <c r="O945" s="14"/>
      <c r="P945" s="14"/>
      <c r="Q945" s="14"/>
      <c r="R945" s="14"/>
      <c r="S945" s="14"/>
    </row>
    <row r="946" ht="14.25" customHeight="1">
      <c r="N946" s="14"/>
      <c r="O946" s="14"/>
      <c r="P946" s="14"/>
      <c r="Q946" s="14"/>
      <c r="R946" s="14"/>
      <c r="S946" s="14"/>
    </row>
    <row r="947" ht="14.25" customHeight="1">
      <c r="N947" s="14"/>
      <c r="O947" s="14"/>
      <c r="P947" s="14"/>
      <c r="Q947" s="14"/>
      <c r="R947" s="14"/>
      <c r="S947" s="14"/>
    </row>
    <row r="948" ht="14.25" customHeight="1">
      <c r="N948" s="14"/>
      <c r="O948" s="14"/>
      <c r="P948" s="14"/>
      <c r="Q948" s="14"/>
      <c r="R948" s="14"/>
      <c r="S948" s="14"/>
    </row>
    <row r="949" ht="14.25" customHeight="1">
      <c r="N949" s="14"/>
      <c r="O949" s="14"/>
      <c r="P949" s="14"/>
      <c r="Q949" s="14"/>
      <c r="R949" s="14"/>
      <c r="S949" s="14"/>
    </row>
    <row r="950" ht="14.25" customHeight="1">
      <c r="N950" s="14"/>
      <c r="O950" s="14"/>
      <c r="P950" s="14"/>
      <c r="Q950" s="14"/>
      <c r="R950" s="14"/>
      <c r="S950" s="14"/>
    </row>
    <row r="951" ht="14.25" customHeight="1">
      <c r="N951" s="14"/>
      <c r="O951" s="14"/>
      <c r="P951" s="14"/>
      <c r="Q951" s="14"/>
      <c r="R951" s="14"/>
      <c r="S951" s="14"/>
    </row>
    <row r="952" ht="14.25" customHeight="1">
      <c r="N952" s="14"/>
      <c r="O952" s="14"/>
      <c r="P952" s="14"/>
      <c r="Q952" s="14"/>
      <c r="R952" s="14"/>
      <c r="S952" s="14"/>
    </row>
    <row r="953" ht="14.25" customHeight="1">
      <c r="N953" s="14"/>
      <c r="O953" s="14"/>
      <c r="P953" s="14"/>
      <c r="Q953" s="14"/>
      <c r="R953" s="14"/>
      <c r="S953" s="14"/>
    </row>
    <row r="954" ht="14.25" customHeight="1">
      <c r="N954" s="14"/>
      <c r="O954" s="14"/>
      <c r="P954" s="14"/>
      <c r="Q954" s="14"/>
      <c r="R954" s="14"/>
      <c r="S954" s="14"/>
    </row>
    <row r="955" ht="14.25" customHeight="1">
      <c r="N955" s="14"/>
      <c r="O955" s="14"/>
      <c r="P955" s="14"/>
      <c r="Q955" s="14"/>
      <c r="R955" s="14"/>
      <c r="S955" s="14"/>
    </row>
    <row r="956" ht="14.25" customHeight="1">
      <c r="N956" s="14"/>
      <c r="O956" s="14"/>
      <c r="P956" s="14"/>
      <c r="Q956" s="14"/>
      <c r="R956" s="14"/>
      <c r="S956" s="14"/>
    </row>
    <row r="957" ht="14.25" customHeight="1">
      <c r="N957" s="14"/>
      <c r="O957" s="14"/>
      <c r="P957" s="14"/>
      <c r="Q957" s="14"/>
      <c r="R957" s="14"/>
      <c r="S957" s="14"/>
    </row>
    <row r="958" ht="14.25" customHeight="1">
      <c r="N958" s="14"/>
      <c r="O958" s="14"/>
      <c r="P958" s="14"/>
      <c r="Q958" s="14"/>
      <c r="R958" s="14"/>
      <c r="S958" s="14"/>
    </row>
    <row r="959" ht="14.25" customHeight="1">
      <c r="N959" s="14"/>
      <c r="O959" s="14"/>
      <c r="P959" s="14"/>
      <c r="Q959" s="14"/>
      <c r="R959" s="14"/>
      <c r="S959" s="14"/>
    </row>
    <row r="960" ht="14.25" customHeight="1">
      <c r="N960" s="14"/>
      <c r="O960" s="14"/>
      <c r="P960" s="14"/>
      <c r="Q960" s="14"/>
      <c r="R960" s="14"/>
      <c r="S960" s="14"/>
    </row>
    <row r="961" ht="14.25" customHeight="1">
      <c r="N961" s="14"/>
      <c r="O961" s="14"/>
      <c r="P961" s="14"/>
      <c r="Q961" s="14"/>
      <c r="R961" s="14"/>
      <c r="S961" s="14"/>
    </row>
    <row r="962" ht="14.25" customHeight="1">
      <c r="N962" s="14"/>
      <c r="O962" s="14"/>
      <c r="P962" s="14"/>
      <c r="Q962" s="14"/>
      <c r="R962" s="14"/>
      <c r="S962" s="14"/>
    </row>
    <row r="963" ht="14.25" customHeight="1">
      <c r="N963" s="14"/>
      <c r="O963" s="14"/>
      <c r="P963" s="14"/>
      <c r="Q963" s="14"/>
      <c r="R963" s="14"/>
      <c r="S963" s="14"/>
    </row>
    <row r="964" ht="14.25" customHeight="1">
      <c r="N964" s="14"/>
      <c r="O964" s="14"/>
      <c r="P964" s="14"/>
      <c r="Q964" s="14"/>
      <c r="R964" s="14"/>
      <c r="S964" s="14"/>
    </row>
    <row r="965" ht="14.25" customHeight="1">
      <c r="N965" s="14"/>
      <c r="O965" s="14"/>
      <c r="P965" s="14"/>
      <c r="Q965" s="14"/>
      <c r="R965" s="14"/>
      <c r="S965" s="14"/>
    </row>
    <row r="966" ht="14.25" customHeight="1">
      <c r="N966" s="14"/>
      <c r="O966" s="14"/>
      <c r="P966" s="14"/>
      <c r="Q966" s="14"/>
      <c r="R966" s="14"/>
      <c r="S966" s="14"/>
    </row>
    <row r="967" ht="14.25" customHeight="1">
      <c r="N967" s="14"/>
      <c r="O967" s="14"/>
      <c r="P967" s="14"/>
      <c r="Q967" s="14"/>
      <c r="R967" s="14"/>
      <c r="S967" s="14"/>
    </row>
    <row r="968" ht="14.25" customHeight="1">
      <c r="N968" s="14"/>
      <c r="O968" s="14"/>
      <c r="P968" s="14"/>
      <c r="Q968" s="14"/>
      <c r="R968" s="14"/>
      <c r="S968" s="14"/>
    </row>
    <row r="969" ht="14.25" customHeight="1">
      <c r="N969" s="14"/>
      <c r="O969" s="14"/>
      <c r="P969" s="14"/>
      <c r="Q969" s="14"/>
      <c r="R969" s="14"/>
      <c r="S969" s="14"/>
    </row>
    <row r="970" ht="14.25" customHeight="1">
      <c r="N970" s="14"/>
      <c r="O970" s="14"/>
      <c r="P970" s="14"/>
      <c r="Q970" s="14"/>
      <c r="R970" s="14"/>
      <c r="S970" s="14"/>
    </row>
    <row r="971" ht="14.25" customHeight="1">
      <c r="N971" s="14"/>
      <c r="O971" s="14"/>
      <c r="P971" s="14"/>
      <c r="Q971" s="14"/>
      <c r="R971" s="14"/>
      <c r="S971" s="14"/>
    </row>
    <row r="972" ht="14.25" customHeight="1">
      <c r="N972" s="14"/>
      <c r="O972" s="14"/>
      <c r="P972" s="14"/>
      <c r="Q972" s="14"/>
      <c r="R972" s="14"/>
      <c r="S972" s="14"/>
    </row>
    <row r="973" ht="14.25" customHeight="1">
      <c r="N973" s="14"/>
      <c r="O973" s="14"/>
      <c r="P973" s="14"/>
      <c r="Q973" s="14"/>
      <c r="R973" s="14"/>
      <c r="S973" s="14"/>
    </row>
    <row r="974" ht="14.25" customHeight="1">
      <c r="N974" s="14"/>
      <c r="O974" s="14"/>
      <c r="P974" s="14"/>
      <c r="Q974" s="14"/>
      <c r="R974" s="14"/>
      <c r="S974" s="14"/>
    </row>
    <row r="975" ht="14.25" customHeight="1">
      <c r="N975" s="14"/>
      <c r="O975" s="14"/>
      <c r="P975" s="14"/>
      <c r="Q975" s="14"/>
      <c r="R975" s="14"/>
      <c r="S975" s="14"/>
    </row>
    <row r="976" ht="14.25" customHeight="1">
      <c r="N976" s="14"/>
      <c r="O976" s="14"/>
      <c r="P976" s="14"/>
      <c r="Q976" s="14"/>
      <c r="R976" s="14"/>
      <c r="S976" s="14"/>
    </row>
    <row r="977" ht="14.25" customHeight="1">
      <c r="N977" s="14"/>
      <c r="O977" s="14"/>
      <c r="P977" s="14"/>
      <c r="Q977" s="14"/>
      <c r="R977" s="14"/>
      <c r="S977" s="14"/>
    </row>
    <row r="978" ht="14.25" customHeight="1">
      <c r="N978" s="14"/>
      <c r="O978" s="14"/>
      <c r="P978" s="14"/>
      <c r="Q978" s="14"/>
      <c r="R978" s="14"/>
      <c r="S978" s="14"/>
    </row>
    <row r="979" ht="14.25" customHeight="1">
      <c r="N979" s="14"/>
      <c r="O979" s="14"/>
      <c r="P979" s="14"/>
      <c r="Q979" s="14"/>
      <c r="R979" s="14"/>
      <c r="S979" s="14"/>
    </row>
    <row r="980" ht="14.25" customHeight="1">
      <c r="N980" s="14"/>
      <c r="O980" s="14"/>
      <c r="P980" s="14"/>
      <c r="Q980" s="14"/>
      <c r="R980" s="14"/>
      <c r="S980" s="14"/>
    </row>
    <row r="981" ht="14.25" customHeight="1">
      <c r="N981" s="14"/>
      <c r="O981" s="14"/>
      <c r="P981" s="14"/>
      <c r="Q981" s="14"/>
      <c r="R981" s="14"/>
      <c r="S981" s="14"/>
    </row>
    <row r="982" ht="14.25" customHeight="1">
      <c r="N982" s="14"/>
      <c r="O982" s="14"/>
      <c r="P982" s="14"/>
      <c r="Q982" s="14"/>
      <c r="R982" s="14"/>
      <c r="S982" s="14"/>
    </row>
    <row r="983" ht="14.25" customHeight="1">
      <c r="N983" s="14"/>
      <c r="O983" s="14"/>
      <c r="P983" s="14"/>
      <c r="Q983" s="14"/>
      <c r="R983" s="14"/>
      <c r="S983" s="14"/>
    </row>
    <row r="984" ht="14.25" customHeight="1">
      <c r="N984" s="14"/>
      <c r="O984" s="14"/>
      <c r="P984" s="14"/>
      <c r="Q984" s="14"/>
      <c r="R984" s="14"/>
      <c r="S984" s="14"/>
    </row>
    <row r="985" ht="14.25" customHeight="1">
      <c r="N985" s="14"/>
      <c r="O985" s="14"/>
      <c r="P985" s="14"/>
      <c r="Q985" s="14"/>
      <c r="R985" s="14"/>
      <c r="S985" s="14"/>
    </row>
    <row r="986" ht="14.25" customHeight="1">
      <c r="N986" s="14"/>
      <c r="O986" s="14"/>
      <c r="P986" s="14"/>
      <c r="Q986" s="14"/>
      <c r="R986" s="14"/>
      <c r="S986" s="14"/>
    </row>
    <row r="987" ht="14.25" customHeight="1">
      <c r="N987" s="14"/>
      <c r="O987" s="14"/>
      <c r="P987" s="14"/>
      <c r="Q987" s="14"/>
      <c r="R987" s="14"/>
      <c r="S987" s="14"/>
    </row>
    <row r="988" ht="14.25" customHeight="1">
      <c r="N988" s="14"/>
      <c r="O988" s="14"/>
      <c r="P988" s="14"/>
      <c r="Q988" s="14"/>
      <c r="R988" s="14"/>
      <c r="S988" s="14"/>
    </row>
    <row r="989" ht="14.25" customHeight="1">
      <c r="N989" s="14"/>
      <c r="O989" s="14"/>
      <c r="P989" s="14"/>
      <c r="Q989" s="14"/>
      <c r="R989" s="14"/>
      <c r="S989" s="14"/>
    </row>
    <row r="990" ht="14.25" customHeight="1">
      <c r="N990" s="14"/>
      <c r="O990" s="14"/>
      <c r="P990" s="14"/>
      <c r="Q990" s="14"/>
      <c r="R990" s="14"/>
      <c r="S990" s="14"/>
    </row>
    <row r="991" ht="14.25" customHeight="1">
      <c r="N991" s="14"/>
      <c r="O991" s="14"/>
      <c r="P991" s="14"/>
      <c r="Q991" s="14"/>
      <c r="R991" s="14"/>
      <c r="S991" s="14"/>
    </row>
    <row r="992" ht="14.25" customHeight="1">
      <c r="N992" s="14"/>
      <c r="O992" s="14"/>
      <c r="P992" s="14"/>
      <c r="Q992" s="14"/>
      <c r="R992" s="14"/>
      <c r="S992" s="14"/>
    </row>
    <row r="993" ht="14.25" customHeight="1">
      <c r="N993" s="14"/>
      <c r="O993" s="14"/>
      <c r="P993" s="14"/>
      <c r="Q993" s="14"/>
      <c r="R993" s="14"/>
      <c r="S993" s="14"/>
    </row>
    <row r="994" ht="14.25" customHeight="1">
      <c r="N994" s="14"/>
      <c r="O994" s="14"/>
      <c r="P994" s="14"/>
      <c r="Q994" s="14"/>
      <c r="R994" s="14"/>
      <c r="S994" s="14"/>
    </row>
    <row r="995" ht="14.25" customHeight="1">
      <c r="N995" s="14"/>
      <c r="O995" s="14"/>
      <c r="P995" s="14"/>
      <c r="Q995" s="14"/>
      <c r="R995" s="14"/>
      <c r="S995" s="14"/>
    </row>
    <row r="996" ht="14.25" customHeight="1">
      <c r="N996" s="14"/>
      <c r="O996" s="14"/>
      <c r="P996" s="14"/>
      <c r="Q996" s="14"/>
      <c r="R996" s="14"/>
      <c r="S996" s="14"/>
    </row>
    <row r="997" ht="14.25" customHeight="1">
      <c r="N997" s="14"/>
      <c r="O997" s="14"/>
      <c r="P997" s="14"/>
      <c r="Q997" s="14"/>
      <c r="R997" s="14"/>
      <c r="S997" s="14"/>
    </row>
    <row r="998" ht="14.25" customHeight="1">
      <c r="N998" s="14"/>
      <c r="O998" s="14"/>
      <c r="P998" s="14"/>
      <c r="Q998" s="14"/>
      <c r="R998" s="14"/>
      <c r="S998" s="14"/>
    </row>
    <row r="999" ht="14.25" customHeight="1">
      <c r="N999" s="14"/>
      <c r="O999" s="14"/>
      <c r="P999" s="14"/>
      <c r="Q999" s="14"/>
      <c r="R999" s="14"/>
      <c r="S999" s="14"/>
    </row>
    <row r="1000" ht="14.25" customHeight="1">
      <c r="N1000" s="14"/>
      <c r="O1000" s="14"/>
      <c r="P1000" s="14"/>
      <c r="Q1000" s="14"/>
      <c r="R1000" s="14"/>
      <c r="S1000" s="14"/>
    </row>
  </sheetData>
  <mergeCells count="155">
    <mergeCell ref="A1:M1"/>
    <mergeCell ref="F3:G3"/>
    <mergeCell ref="H3:I3"/>
    <mergeCell ref="K3:L3"/>
    <mergeCell ref="F7:M7"/>
    <mergeCell ref="F9:M9"/>
    <mergeCell ref="F17:M17"/>
    <mergeCell ref="D19:E19"/>
    <mergeCell ref="F19:M19"/>
    <mergeCell ref="D21:E21"/>
    <mergeCell ref="F21:M21"/>
    <mergeCell ref="F23:M23"/>
    <mergeCell ref="G25:M25"/>
    <mergeCell ref="G26:M26"/>
    <mergeCell ref="G27:M27"/>
    <mergeCell ref="G28:M28"/>
    <mergeCell ref="G29:M29"/>
    <mergeCell ref="G30:M30"/>
    <mergeCell ref="G31:M31"/>
    <mergeCell ref="G33:M33"/>
    <mergeCell ref="G34:M34"/>
    <mergeCell ref="G35:M35"/>
    <mergeCell ref="G36:M36"/>
    <mergeCell ref="G37:M37"/>
    <mergeCell ref="G38:M38"/>
    <mergeCell ref="G39:M39"/>
    <mergeCell ref="D42:E42"/>
    <mergeCell ref="K42:L42"/>
    <mergeCell ref="F42:I42"/>
    <mergeCell ref="F43:I43"/>
    <mergeCell ref="K43:L43"/>
    <mergeCell ref="F44:I44"/>
    <mergeCell ref="K44:L44"/>
    <mergeCell ref="K45:L45"/>
    <mergeCell ref="F46:M46"/>
    <mergeCell ref="F45:I45"/>
    <mergeCell ref="F48:G48"/>
    <mergeCell ref="H48:I48"/>
    <mergeCell ref="K48:L48"/>
    <mergeCell ref="F49:G49"/>
    <mergeCell ref="H49:I49"/>
    <mergeCell ref="K49:L49"/>
    <mergeCell ref="F50:G50"/>
    <mergeCell ref="H50:I50"/>
    <mergeCell ref="K50:L50"/>
    <mergeCell ref="F51:G51"/>
    <mergeCell ref="H51:I51"/>
    <mergeCell ref="K51:L51"/>
    <mergeCell ref="F52:M52"/>
    <mergeCell ref="F81:G81"/>
    <mergeCell ref="H81:I81"/>
    <mergeCell ref="D83:E83"/>
    <mergeCell ref="F83:G83"/>
    <mergeCell ref="H83:I83"/>
    <mergeCell ref="D85:E85"/>
    <mergeCell ref="J85:M85"/>
    <mergeCell ref="D87:E87"/>
    <mergeCell ref="F88:H88"/>
    <mergeCell ref="I88:J88"/>
    <mergeCell ref="K88:M88"/>
    <mergeCell ref="F89:H89"/>
    <mergeCell ref="I89:J89"/>
    <mergeCell ref="K89:M89"/>
    <mergeCell ref="D90:E90"/>
    <mergeCell ref="D91:E91"/>
    <mergeCell ref="F91:H91"/>
    <mergeCell ref="D93:E93"/>
    <mergeCell ref="F93:G93"/>
    <mergeCell ref="H93:I93"/>
    <mergeCell ref="L93:M93"/>
    <mergeCell ref="F94:G94"/>
    <mergeCell ref="H94:I94"/>
    <mergeCell ref="L94:M94"/>
    <mergeCell ref="F95:G95"/>
    <mergeCell ref="H95:I95"/>
    <mergeCell ref="F96:G96"/>
    <mergeCell ref="H96:I96"/>
    <mergeCell ref="D98:E98"/>
    <mergeCell ref="F98:I98"/>
    <mergeCell ref="F100:I100"/>
    <mergeCell ref="D102:E102"/>
    <mergeCell ref="F103:H103"/>
    <mergeCell ref="I103:J103"/>
    <mergeCell ref="K103:M103"/>
    <mergeCell ref="F104:H104"/>
    <mergeCell ref="I104:J104"/>
    <mergeCell ref="K104:M104"/>
    <mergeCell ref="D106:E106"/>
    <mergeCell ref="F106:H106"/>
    <mergeCell ref="H108:I108"/>
    <mergeCell ref="L108:M108"/>
    <mergeCell ref="D115:E115"/>
    <mergeCell ref="D119:E119"/>
    <mergeCell ref="D122:E122"/>
    <mergeCell ref="D124:E124"/>
    <mergeCell ref="D127:E127"/>
    <mergeCell ref="F119:I119"/>
    <mergeCell ref="F122:J122"/>
    <mergeCell ref="H124:I124"/>
    <mergeCell ref="F129:I129"/>
    <mergeCell ref="J129:K129"/>
    <mergeCell ref="F111:G111"/>
    <mergeCell ref="H111:I111"/>
    <mergeCell ref="D113:E113"/>
    <mergeCell ref="F113:J113"/>
    <mergeCell ref="G115:I115"/>
    <mergeCell ref="G116:I116"/>
    <mergeCell ref="G117:I117"/>
    <mergeCell ref="F54:G54"/>
    <mergeCell ref="K54:L54"/>
    <mergeCell ref="F55:G55"/>
    <mergeCell ref="K55:L55"/>
    <mergeCell ref="F56:G56"/>
    <mergeCell ref="K56:L56"/>
    <mergeCell ref="F57:G57"/>
    <mergeCell ref="K57:L57"/>
    <mergeCell ref="F58:M58"/>
    <mergeCell ref="F60:G60"/>
    <mergeCell ref="H60:I60"/>
    <mergeCell ref="K62:M62"/>
    <mergeCell ref="H64:I64"/>
    <mergeCell ref="K64:L64"/>
    <mergeCell ref="K66:L66"/>
    <mergeCell ref="K67:L67"/>
    <mergeCell ref="K68:L68"/>
    <mergeCell ref="J70:L70"/>
    <mergeCell ref="M70:M71"/>
    <mergeCell ref="F64:G64"/>
    <mergeCell ref="F65:G65"/>
    <mergeCell ref="H65:I65"/>
    <mergeCell ref="K65:L65"/>
    <mergeCell ref="F66:G66"/>
    <mergeCell ref="F67:G67"/>
    <mergeCell ref="H67:I67"/>
    <mergeCell ref="F68:G68"/>
    <mergeCell ref="H68:I68"/>
    <mergeCell ref="D70:E71"/>
    <mergeCell ref="F70:G71"/>
    <mergeCell ref="H70:I70"/>
    <mergeCell ref="D72:E72"/>
    <mergeCell ref="D73:E73"/>
    <mergeCell ref="D74:E74"/>
    <mergeCell ref="D75:E75"/>
    <mergeCell ref="D76:E76"/>
    <mergeCell ref="D77:E77"/>
    <mergeCell ref="D78:L78"/>
    <mergeCell ref="F80:G80"/>
    <mergeCell ref="H80:I80"/>
    <mergeCell ref="F108:G108"/>
    <mergeCell ref="D109:E109"/>
    <mergeCell ref="F109:G109"/>
    <mergeCell ref="H109:I109"/>
    <mergeCell ref="L109:M109"/>
    <mergeCell ref="F110:G110"/>
    <mergeCell ref="H110:I110"/>
  </mergeCells>
  <hyperlinks>
    <hyperlink r:id="rId2" ref="F9"/>
  </hyperlinks>
  <printOptions/>
  <pageMargins bottom="0.75" footer="0.0" header="0.0" left="0.7" right="0.7" top="0.75"/>
  <pageSetup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9.13"/>
    <col customWidth="1" min="3" max="3" width="16.63"/>
    <col customWidth="1" min="4" max="4" width="8.63"/>
    <col customWidth="1" min="5" max="9" width="13.75"/>
    <col customWidth="1" min="10" max="10" width="13.63"/>
    <col customWidth="1" min="11" max="26" width="8.63"/>
  </cols>
  <sheetData>
    <row r="1" ht="14.25" customHeight="1"/>
    <row r="2" ht="14.25" customHeight="1">
      <c r="E2" s="2" t="s">
        <v>1</v>
      </c>
      <c r="F2" s="2" t="s">
        <v>7</v>
      </c>
      <c r="G2" s="2" t="s">
        <v>8</v>
      </c>
      <c r="H2" s="2" t="s">
        <v>10</v>
      </c>
      <c r="I2" s="2" t="s">
        <v>13</v>
      </c>
    </row>
    <row r="3" ht="14.25" customHeight="1">
      <c r="A3" s="6" t="s">
        <v>14</v>
      </c>
      <c r="B3" s="6"/>
      <c r="C3" s="6"/>
      <c r="D3" s="6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/>
    <row r="5" ht="14.25" customHeight="1">
      <c r="A5" s="13" t="s">
        <v>23</v>
      </c>
      <c r="B5" s="13" t="s">
        <v>24</v>
      </c>
      <c r="C5" s="13" t="s">
        <v>25</v>
      </c>
      <c r="D5" s="15" t="s">
        <v>26</v>
      </c>
      <c r="E5" s="12"/>
      <c r="F5" s="12"/>
      <c r="G5" s="12"/>
      <c r="H5" s="12"/>
      <c r="I5" s="12"/>
      <c r="J5" s="12"/>
      <c r="K5" s="12"/>
      <c r="L5" s="12" t="s">
        <v>28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22">
        <v>1.0</v>
      </c>
      <c r="B6" s="25" t="s">
        <v>32</v>
      </c>
      <c r="C6" s="29" t="s">
        <v>34</v>
      </c>
      <c r="D6" s="31" t="s">
        <v>30</v>
      </c>
      <c r="E6" s="1" t="s">
        <v>39</v>
      </c>
      <c r="L6" s="12" t="s">
        <v>30</v>
      </c>
    </row>
    <row r="7" ht="14.25" customHeight="1">
      <c r="A7" s="32">
        <v>2.0</v>
      </c>
      <c r="B7" s="36" t="s">
        <v>37</v>
      </c>
      <c r="C7" s="34" t="s">
        <v>40</v>
      </c>
      <c r="D7" s="28" t="s">
        <v>30</v>
      </c>
      <c r="E7" s="1" t="s">
        <v>47</v>
      </c>
      <c r="L7" s="12" t="s">
        <v>42</v>
      </c>
    </row>
    <row r="8" ht="14.25" customHeight="1">
      <c r="A8" s="32">
        <v>3.0</v>
      </c>
      <c r="B8" s="36" t="s">
        <v>43</v>
      </c>
      <c r="C8" s="34" t="s">
        <v>45</v>
      </c>
      <c r="D8" s="28" t="s">
        <v>30</v>
      </c>
      <c r="L8" s="12" t="s">
        <v>51</v>
      </c>
    </row>
    <row r="9" ht="14.25" customHeight="1">
      <c r="A9" s="32">
        <v>4.0</v>
      </c>
      <c r="B9" s="36" t="s">
        <v>48</v>
      </c>
      <c r="C9" s="34" t="s">
        <v>49</v>
      </c>
      <c r="D9" s="28" t="s">
        <v>30</v>
      </c>
      <c r="L9" s="12"/>
    </row>
    <row r="10" ht="14.25" customHeight="1">
      <c r="A10" s="32">
        <v>5.0</v>
      </c>
      <c r="B10" s="36" t="s">
        <v>52</v>
      </c>
      <c r="C10" s="34" t="s">
        <v>53</v>
      </c>
      <c r="D10" s="28" t="s">
        <v>30</v>
      </c>
      <c r="L10" s="12"/>
    </row>
    <row r="11" ht="14.25" customHeight="1">
      <c r="A11" s="32">
        <v>6.0</v>
      </c>
      <c r="B11" s="36" t="s">
        <v>54</v>
      </c>
      <c r="C11" s="34" t="s">
        <v>34</v>
      </c>
      <c r="D11" s="28" t="s">
        <v>30</v>
      </c>
      <c r="L11" s="12"/>
    </row>
    <row r="12" ht="14.25" customHeight="1">
      <c r="A12" s="32">
        <v>7.0</v>
      </c>
      <c r="B12" s="36" t="s">
        <v>55</v>
      </c>
      <c r="C12" s="34" t="s">
        <v>56</v>
      </c>
      <c r="D12" s="28" t="s">
        <v>30</v>
      </c>
      <c r="L12" s="12"/>
    </row>
    <row r="13" ht="14.25" customHeight="1">
      <c r="A13" s="32">
        <v>8.0</v>
      </c>
      <c r="B13" s="36" t="s">
        <v>57</v>
      </c>
      <c r="C13" s="34" t="s">
        <v>40</v>
      </c>
      <c r="D13" s="28" t="s">
        <v>51</v>
      </c>
      <c r="L13" s="12"/>
    </row>
    <row r="14" ht="14.25" customHeight="1">
      <c r="A14" s="32">
        <v>9.0</v>
      </c>
      <c r="B14" s="36" t="s">
        <v>60</v>
      </c>
      <c r="C14" s="32" t="s">
        <v>49</v>
      </c>
      <c r="D14" s="28" t="s">
        <v>42</v>
      </c>
      <c r="L14" s="12"/>
    </row>
    <row r="15" ht="14.25" customHeight="1">
      <c r="A15" s="32">
        <v>10.0</v>
      </c>
      <c r="B15" s="36" t="s">
        <v>64</v>
      </c>
      <c r="C15" s="32" t="s">
        <v>65</v>
      </c>
      <c r="D15" s="28" t="s">
        <v>42</v>
      </c>
    </row>
    <row r="16" ht="14.25" customHeight="1">
      <c r="A16" s="32"/>
      <c r="B16" s="32"/>
      <c r="C16" s="32"/>
      <c r="D16" s="32"/>
    </row>
    <row r="17" ht="14.25" customHeight="1">
      <c r="A17" s="32"/>
      <c r="B17" s="32"/>
      <c r="C17" s="32"/>
      <c r="D17" s="32"/>
    </row>
    <row r="18" ht="14.25" customHeight="1">
      <c r="A18" s="32"/>
      <c r="B18" s="32"/>
      <c r="C18" s="32"/>
      <c r="D18" s="3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I3">
      <formula1>'Jenis Industri'!$B$4:$B$24</formula1>
    </dataValidation>
    <dataValidation type="list" allowBlank="1" showErrorMessage="1" sqref="D6:D15">
      <formula1>$L$6:$L$8</formula1>
    </dataValidation>
    <dataValidation type="list" allowBlank="1" showErrorMessage="1" sqref="C6:C15">
      <formula1>'Jenis Industri'!$B$5:$B$24</formula1>
    </dataValidation>
    <dataValidation type="list" allowBlank="1" showErrorMessage="1" sqref="E3">
      <formula1>"Semua,Jawa Timur,Jawa Barat,Jawa Tengah"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9.13"/>
    <col customWidth="1" min="3" max="3" width="16.63"/>
    <col customWidth="1" min="4" max="4" width="15.0"/>
    <col customWidth="1" min="5" max="5" width="8.63"/>
    <col customWidth="1" min="6" max="9" width="13.75"/>
    <col customWidth="1" min="10" max="10" width="14.88"/>
    <col customWidth="1" min="11" max="11" width="14.5"/>
    <col customWidth="1" min="12" max="26" width="8.63"/>
  </cols>
  <sheetData>
    <row r="1" ht="14.25" customHeight="1"/>
    <row r="2" ht="14.25" customHeight="1">
      <c r="F2" s="2" t="s">
        <v>1</v>
      </c>
      <c r="G2" s="2" t="s">
        <v>7</v>
      </c>
      <c r="H2" s="2" t="s">
        <v>8</v>
      </c>
      <c r="I2" s="2" t="s">
        <v>10</v>
      </c>
      <c r="J2" s="4" t="s">
        <v>11</v>
      </c>
      <c r="K2" s="5" t="s">
        <v>12</v>
      </c>
    </row>
    <row r="3" ht="14.25" customHeight="1">
      <c r="A3" s="6" t="s">
        <v>14</v>
      </c>
      <c r="B3" s="6"/>
      <c r="C3" s="6"/>
      <c r="D3" s="6"/>
      <c r="E3" s="6" t="s">
        <v>15</v>
      </c>
      <c r="F3" s="9" t="s">
        <v>16</v>
      </c>
      <c r="G3" s="10" t="s">
        <v>17</v>
      </c>
      <c r="H3" s="10" t="s">
        <v>18</v>
      </c>
      <c r="I3" s="10" t="s">
        <v>19</v>
      </c>
      <c r="J3" s="9" t="s">
        <v>20</v>
      </c>
      <c r="K3" s="11" t="s">
        <v>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/>
    <row r="5" ht="14.25" customHeight="1">
      <c r="A5" s="13" t="s">
        <v>23</v>
      </c>
      <c r="B5" s="13" t="s">
        <v>24</v>
      </c>
      <c r="C5" s="13" t="s">
        <v>25</v>
      </c>
      <c r="D5" s="13" t="s">
        <v>11</v>
      </c>
      <c r="E5" s="13" t="s">
        <v>26</v>
      </c>
      <c r="F5" s="12"/>
      <c r="G5" s="12"/>
      <c r="H5" s="12"/>
      <c r="I5" s="12"/>
      <c r="J5" s="12"/>
      <c r="K5" s="12"/>
      <c r="L5" s="12"/>
      <c r="M5" s="12" t="s">
        <v>28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20">
        <v>1.0</v>
      </c>
      <c r="B6" s="22" t="s">
        <v>32</v>
      </c>
      <c r="C6" s="23" t="s">
        <v>34</v>
      </c>
      <c r="D6" s="23"/>
      <c r="E6" s="26" t="s">
        <v>35</v>
      </c>
      <c r="M6" s="12" t="s">
        <v>30</v>
      </c>
    </row>
    <row r="7" ht="14.25" customHeight="1">
      <c r="A7" s="28">
        <v>2.0</v>
      </c>
      <c r="B7" s="32" t="s">
        <v>37</v>
      </c>
      <c r="C7" s="34" t="s">
        <v>40</v>
      </c>
      <c r="D7" s="34"/>
      <c r="E7" s="28" t="s">
        <v>35</v>
      </c>
      <c r="M7" s="12" t="s">
        <v>42</v>
      </c>
    </row>
    <row r="8" ht="14.25" customHeight="1">
      <c r="A8" s="28">
        <v>3.0</v>
      </c>
      <c r="B8" s="32" t="s">
        <v>43</v>
      </c>
      <c r="C8" s="34" t="s">
        <v>45</v>
      </c>
      <c r="D8" s="34"/>
      <c r="E8" s="28" t="s">
        <v>35</v>
      </c>
      <c r="M8" s="12" t="s">
        <v>46</v>
      </c>
    </row>
    <row r="9" ht="14.25" customHeight="1">
      <c r="A9" s="28">
        <v>4.0</v>
      </c>
      <c r="B9" s="32" t="s">
        <v>48</v>
      </c>
      <c r="C9" s="34" t="s">
        <v>49</v>
      </c>
      <c r="D9" s="34"/>
      <c r="E9" s="28" t="s">
        <v>50</v>
      </c>
      <c r="M9" s="12"/>
    </row>
    <row r="10" ht="14.25" customHeight="1">
      <c r="A10" s="28">
        <v>5.0</v>
      </c>
      <c r="B10" s="32" t="s">
        <v>52</v>
      </c>
      <c r="C10" s="34" t="s">
        <v>53</v>
      </c>
      <c r="D10" s="34"/>
      <c r="E10" s="28" t="s">
        <v>35</v>
      </c>
      <c r="M10" s="12"/>
    </row>
    <row r="11" ht="14.25" customHeight="1">
      <c r="A11" s="28">
        <v>6.0</v>
      </c>
      <c r="B11" s="32" t="s">
        <v>54</v>
      </c>
      <c r="C11" s="34" t="s">
        <v>34</v>
      </c>
      <c r="D11" s="34"/>
      <c r="E11" s="28" t="s">
        <v>35</v>
      </c>
      <c r="M11" s="12"/>
    </row>
    <row r="12" ht="14.25" customHeight="1">
      <c r="A12" s="28">
        <v>7.0</v>
      </c>
      <c r="B12" s="32" t="s">
        <v>55</v>
      </c>
      <c r="C12" s="34" t="s">
        <v>56</v>
      </c>
      <c r="D12" s="34"/>
      <c r="E12" s="28" t="s">
        <v>46</v>
      </c>
      <c r="M12" s="12"/>
    </row>
    <row r="13" ht="14.25" customHeight="1">
      <c r="A13" s="28">
        <v>8.0</v>
      </c>
      <c r="B13" s="32" t="s">
        <v>57</v>
      </c>
      <c r="C13" s="34" t="s">
        <v>40</v>
      </c>
      <c r="D13" s="34"/>
      <c r="E13" s="28" t="s">
        <v>46</v>
      </c>
      <c r="M13" s="12"/>
    </row>
    <row r="14" ht="14.25" customHeight="1">
      <c r="A14" s="28">
        <v>9.0</v>
      </c>
      <c r="B14" s="32" t="s">
        <v>60</v>
      </c>
      <c r="C14" s="32" t="s">
        <v>49</v>
      </c>
      <c r="D14" s="32"/>
      <c r="E14" s="28" t="s">
        <v>42</v>
      </c>
      <c r="M14" s="12"/>
    </row>
    <row r="15" ht="14.25" customHeight="1">
      <c r="A15" s="28">
        <v>10.0</v>
      </c>
      <c r="B15" s="32" t="s">
        <v>64</v>
      </c>
      <c r="C15" s="32" t="s">
        <v>65</v>
      </c>
      <c r="D15" s="32"/>
      <c r="E15" s="28" t="s">
        <v>42</v>
      </c>
    </row>
    <row r="16" ht="14.25" customHeight="1">
      <c r="A16" s="28"/>
      <c r="B16" s="32"/>
      <c r="C16" s="32"/>
      <c r="D16" s="32"/>
      <c r="E16" s="32"/>
    </row>
    <row r="17" ht="14.25" customHeight="1">
      <c r="A17" s="28"/>
      <c r="B17" s="32"/>
      <c r="C17" s="32"/>
      <c r="D17" s="32"/>
      <c r="E17" s="32"/>
    </row>
    <row r="18" ht="14.25" customHeight="1">
      <c r="A18" s="28"/>
      <c r="B18" s="32"/>
      <c r="C18" s="32"/>
      <c r="D18" s="32"/>
      <c r="E18" s="3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C30" s="1" t="s">
        <v>70</v>
      </c>
      <c r="D30" s="42">
        <v>45.0</v>
      </c>
      <c r="E30" s="1" t="s">
        <v>71</v>
      </c>
    </row>
    <row r="31" ht="14.25" customHeight="1">
      <c r="C31" s="45" t="s">
        <v>73</v>
      </c>
      <c r="D31" s="42">
        <f>60/64*D30</f>
        <v>42.1875</v>
      </c>
      <c r="E31" s="1" t="s">
        <v>71</v>
      </c>
      <c r="F31" s="42">
        <f t="shared" ref="F31:F32" si="1">D31*1000*30</f>
        <v>1265625</v>
      </c>
      <c r="G31" s="1" t="s">
        <v>89</v>
      </c>
    </row>
    <row r="32" ht="14.25" customHeight="1">
      <c r="A32" s="42" t="str">
        <f>D30*C31</f>
        <v>#VALUE!</v>
      </c>
      <c r="C32" s="1" t="s">
        <v>97</v>
      </c>
      <c r="D32" s="42">
        <v>81.543</v>
      </c>
      <c r="E32" s="47" t="s">
        <v>71</v>
      </c>
      <c r="F32" s="42">
        <f t="shared" si="1"/>
        <v>2446290</v>
      </c>
    </row>
    <row r="33" ht="14.25" customHeight="1">
      <c r="C33" s="1" t="s">
        <v>105</v>
      </c>
      <c r="F33" s="48">
        <f>F31/F32</f>
        <v>0.5173650712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13:E15">
      <formula1>$M$6:$M$8</formula1>
    </dataValidation>
    <dataValidation type="list" allowBlank="1" showErrorMessage="1" sqref="J3">
      <formula1>"Semua,Existing,Pengembangan"</formula1>
    </dataValidation>
    <dataValidation type="list" allowBlank="1" showErrorMessage="1" sqref="E6:E12">
      <formula1>"Potensi,Edit,Save"</formula1>
    </dataValidation>
    <dataValidation type="list" allowBlank="1" showErrorMessage="1" sqref="C6:D15">
      <formula1>'Jenis Industri'!$B$5:$B$24</formula1>
    </dataValidation>
    <dataValidation type="list" allowBlank="1" showErrorMessage="1" sqref="K3">
      <formula1>"Semua,Kawasan Industri,Non Kawasan Industri"</formula1>
    </dataValidation>
    <dataValidation type="list" allowBlank="1" showErrorMessage="1" sqref="F3">
      <formula1>"Semua,Jawa Timur,Jawa Barat,Jawa Tengah"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63"/>
    <col customWidth="1" min="3" max="3" width="14.13"/>
    <col customWidth="1" min="4" max="26" width="8.63"/>
  </cols>
  <sheetData>
    <row r="1" ht="14.25" customHeight="1"/>
    <row r="2" ht="14.25" customHeight="1"/>
    <row r="3" ht="14.25" customHeight="1">
      <c r="A3" s="3"/>
      <c r="B3" s="3" t="s">
        <v>61</v>
      </c>
      <c r="C3" s="3" t="s">
        <v>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 t="s">
        <v>21</v>
      </c>
      <c r="C4" s="3" t="s">
        <v>67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>
        <v>1.0</v>
      </c>
      <c r="B5" s="1" t="s">
        <v>45</v>
      </c>
      <c r="C5" s="1" t="s">
        <v>72</v>
      </c>
    </row>
    <row r="6" ht="14.25" customHeight="1">
      <c r="A6" s="1">
        <v>2.0</v>
      </c>
      <c r="B6" s="1" t="s">
        <v>74</v>
      </c>
      <c r="C6" s="1" t="s">
        <v>75</v>
      </c>
    </row>
    <row r="7" ht="14.25" customHeight="1">
      <c r="A7" s="1">
        <v>3.0</v>
      </c>
      <c r="B7" s="1" t="s">
        <v>65</v>
      </c>
      <c r="C7" s="1" t="s">
        <v>76</v>
      </c>
    </row>
    <row r="8" ht="14.25" customHeight="1">
      <c r="A8" s="1">
        <v>4.0</v>
      </c>
      <c r="B8" s="1" t="s">
        <v>77</v>
      </c>
      <c r="C8" s="1" t="s">
        <v>79</v>
      </c>
    </row>
    <row r="9" ht="14.25" customHeight="1">
      <c r="A9" s="1">
        <v>5.0</v>
      </c>
      <c r="B9" s="1" t="s">
        <v>80</v>
      </c>
      <c r="C9" s="1" t="s">
        <v>81</v>
      </c>
    </row>
    <row r="10" ht="14.25" customHeight="1">
      <c r="A10" s="1">
        <v>6.0</v>
      </c>
      <c r="B10" s="1" t="s">
        <v>40</v>
      </c>
      <c r="C10" s="1" t="s">
        <v>82</v>
      </c>
    </row>
    <row r="11" ht="14.25" customHeight="1">
      <c r="A11" s="1">
        <v>7.0</v>
      </c>
      <c r="B11" s="1" t="s">
        <v>34</v>
      </c>
      <c r="C11" s="1" t="s">
        <v>83</v>
      </c>
    </row>
    <row r="12" ht="14.25" customHeight="1">
      <c r="A12" s="1">
        <v>8.0</v>
      </c>
      <c r="B12" s="1" t="s">
        <v>49</v>
      </c>
      <c r="C12" s="1" t="s">
        <v>84</v>
      </c>
    </row>
    <row r="13" ht="14.25" customHeight="1">
      <c r="A13" s="1">
        <v>9.0</v>
      </c>
      <c r="B13" s="1" t="s">
        <v>53</v>
      </c>
      <c r="C13" s="1" t="s">
        <v>85</v>
      </c>
    </row>
    <row r="14" ht="14.25" customHeight="1">
      <c r="A14" s="1">
        <v>10.0</v>
      </c>
      <c r="B14" s="1" t="s">
        <v>86</v>
      </c>
      <c r="C14" s="1" t="s">
        <v>87</v>
      </c>
    </row>
    <row r="15" ht="14.25" customHeight="1">
      <c r="A15" s="1">
        <v>11.0</v>
      </c>
      <c r="B15" s="1" t="s">
        <v>56</v>
      </c>
      <c r="C15" s="1" t="s">
        <v>88</v>
      </c>
    </row>
    <row r="16" ht="14.25" customHeight="1">
      <c r="A16" s="1">
        <v>12.0</v>
      </c>
      <c r="B16" s="1" t="s">
        <v>90</v>
      </c>
      <c r="C16" s="1" t="s">
        <v>91</v>
      </c>
    </row>
    <row r="17" ht="14.25" customHeight="1">
      <c r="A17" s="1">
        <v>13.0</v>
      </c>
      <c r="B17" s="1" t="s">
        <v>92</v>
      </c>
      <c r="C17" s="1" t="s">
        <v>93</v>
      </c>
    </row>
    <row r="18" ht="14.25" customHeight="1">
      <c r="A18" s="1">
        <v>14.0</v>
      </c>
      <c r="B18" s="1" t="s">
        <v>94</v>
      </c>
      <c r="C18" s="1" t="s">
        <v>95</v>
      </c>
    </row>
    <row r="19" ht="14.25" customHeight="1">
      <c r="A19" s="1">
        <v>15.0</v>
      </c>
      <c r="B19" s="1" t="s">
        <v>96</v>
      </c>
      <c r="C19" s="1" t="s">
        <v>98</v>
      </c>
    </row>
    <row r="20" ht="14.25" customHeight="1">
      <c r="A20" s="1">
        <v>16.0</v>
      </c>
      <c r="B20" s="1" t="s">
        <v>100</v>
      </c>
      <c r="C20" s="1" t="s">
        <v>101</v>
      </c>
    </row>
    <row r="21" ht="14.25" customHeight="1">
      <c r="A21" s="1">
        <v>17.0</v>
      </c>
      <c r="B21" s="1" t="s">
        <v>103</v>
      </c>
      <c r="C21" s="1" t="s">
        <v>104</v>
      </c>
    </row>
    <row r="22" ht="14.25" customHeight="1">
      <c r="A22" s="1">
        <v>18.0</v>
      </c>
      <c r="B22" s="1" t="s">
        <v>106</v>
      </c>
      <c r="C22" s="1" t="s">
        <v>107</v>
      </c>
    </row>
    <row r="23" ht="14.25" customHeight="1">
      <c r="A23" s="1">
        <v>19.0</v>
      </c>
      <c r="B23" s="1" t="s">
        <v>108</v>
      </c>
      <c r="C23" s="1" t="s">
        <v>109</v>
      </c>
    </row>
    <row r="24" ht="14.25" customHeight="1">
      <c r="A24" s="1">
        <v>20.0</v>
      </c>
      <c r="B24" s="1" t="s">
        <v>110</v>
      </c>
      <c r="C24" s="1" t="s">
        <v>111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0.0"/>
    <col customWidth="1" min="3" max="3" width="43.13"/>
    <col customWidth="1" min="4" max="4" width="58.88"/>
    <col customWidth="1" min="5" max="26" width="8.63"/>
  </cols>
  <sheetData>
    <row r="1" ht="14.25" customHeight="1"/>
    <row r="2" ht="14.25" customHeight="1"/>
    <row r="3" ht="14.25" customHeight="1"/>
    <row r="4" ht="14.25" customHeight="1">
      <c r="A4" s="1">
        <v>1.0</v>
      </c>
      <c r="B4" s="1" t="s">
        <v>143</v>
      </c>
      <c r="C4" s="6" t="s">
        <v>145</v>
      </c>
      <c r="D4" s="1" t="s">
        <v>146</v>
      </c>
    </row>
    <row r="5" ht="14.25" customHeight="1">
      <c r="A5" s="1">
        <v>2.0</v>
      </c>
      <c r="B5" s="1" t="s">
        <v>147</v>
      </c>
      <c r="C5" s="57" t="s">
        <v>148</v>
      </c>
    </row>
    <row r="6" ht="14.25" customHeight="1">
      <c r="A6" s="1">
        <v>3.0</v>
      </c>
      <c r="B6" s="1" t="s">
        <v>35</v>
      </c>
      <c r="C6" s="6" t="s">
        <v>149</v>
      </c>
    </row>
    <row r="7" ht="14.25" customHeight="1">
      <c r="A7" s="1">
        <v>4.0</v>
      </c>
    </row>
    <row r="8" ht="14.25" customHeight="1">
      <c r="A8" s="1">
        <v>5.0</v>
      </c>
    </row>
    <row r="9" ht="14.25" customHeight="1">
      <c r="A9" s="1">
        <v>6.0</v>
      </c>
    </row>
    <row r="10" ht="14.25" customHeight="1">
      <c r="A10" s="1">
        <v>7.0</v>
      </c>
    </row>
    <row r="11" ht="14.25" customHeight="1">
      <c r="A11" s="1">
        <v>8.0</v>
      </c>
    </row>
    <row r="12" ht="14.25" customHeight="1">
      <c r="A12" s="1">
        <v>9.0</v>
      </c>
    </row>
    <row r="13" ht="14.25" customHeight="1">
      <c r="A13" s="1">
        <v>10.0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1.5"/>
    <col customWidth="1" min="3" max="3" width="10.25"/>
    <col customWidth="1" min="4" max="4" width="9.13"/>
    <col customWidth="1" min="5" max="5" width="10.38"/>
    <col customWidth="1" min="6" max="6" width="10.5"/>
    <col customWidth="1" min="7" max="7" width="9.5"/>
    <col customWidth="1" min="8" max="10" width="9.13"/>
    <col customWidth="1" min="11" max="11" width="9.88"/>
    <col customWidth="1" min="12" max="26" width="8.63"/>
  </cols>
  <sheetData>
    <row r="1" ht="14.25" customHeight="1"/>
    <row r="2" ht="14.25" customHeight="1">
      <c r="A2" s="1" t="s">
        <v>152</v>
      </c>
    </row>
    <row r="3" ht="14.25" customHeight="1"/>
    <row r="4" ht="14.25" customHeight="1">
      <c r="A4" s="12">
        <v>1.0</v>
      </c>
      <c r="B4" s="1" t="s">
        <v>153</v>
      </c>
      <c r="D4" s="12"/>
    </row>
    <row r="5" ht="14.25" customHeight="1">
      <c r="A5" s="12">
        <v>2.0</v>
      </c>
      <c r="B5" s="1" t="s">
        <v>154</v>
      </c>
      <c r="D5" s="1" t="s">
        <v>155</v>
      </c>
    </row>
    <row r="6" ht="14.25" customHeight="1">
      <c r="A6" s="12"/>
      <c r="D6" s="1" t="s">
        <v>156</v>
      </c>
    </row>
    <row r="7" ht="14.25" customHeight="1">
      <c r="A7" s="12"/>
      <c r="D7" s="1" t="s">
        <v>157</v>
      </c>
    </row>
    <row r="8" ht="14.25" customHeight="1">
      <c r="A8" s="12"/>
    </row>
    <row r="9" ht="14.25" customHeight="1">
      <c r="A9" s="12"/>
      <c r="D9" s="1" t="s">
        <v>158</v>
      </c>
      <c r="F9" s="1" t="s">
        <v>155</v>
      </c>
      <c r="H9" s="1" t="s">
        <v>159</v>
      </c>
    </row>
    <row r="10" ht="14.25" customHeight="1">
      <c r="A10" s="12"/>
      <c r="D10" s="1" t="s">
        <v>160</v>
      </c>
    </row>
    <row r="11" ht="14.25" customHeight="1">
      <c r="A11" s="12">
        <v>3.0</v>
      </c>
      <c r="B11" s="1" t="s">
        <v>161</v>
      </c>
      <c r="D11" s="58" t="s">
        <v>24</v>
      </c>
      <c r="E11" s="44"/>
      <c r="F11" s="46"/>
      <c r="G11" s="58" t="s">
        <v>162</v>
      </c>
      <c r="H11" s="46"/>
      <c r="I11" s="58" t="s">
        <v>163</v>
      </c>
      <c r="J11" s="46"/>
    </row>
    <row r="12" ht="14.25" customHeight="1">
      <c r="A12" s="12"/>
      <c r="D12" s="58"/>
      <c r="E12" s="44"/>
      <c r="F12" s="46"/>
      <c r="G12" s="58"/>
      <c r="H12" s="46"/>
      <c r="I12" s="58"/>
      <c r="J12" s="46"/>
    </row>
    <row r="13" ht="14.25" customHeight="1">
      <c r="A13" s="12"/>
      <c r="D13" s="58"/>
      <c r="E13" s="44"/>
      <c r="F13" s="46"/>
      <c r="G13" s="58"/>
      <c r="H13" s="46"/>
      <c r="I13" s="58"/>
      <c r="J13" s="46"/>
    </row>
    <row r="14" ht="14.25" customHeight="1">
      <c r="A14" s="12">
        <v>4.0</v>
      </c>
      <c r="B14" s="1" t="s">
        <v>164</v>
      </c>
      <c r="D14" s="12"/>
      <c r="G14" s="12"/>
    </row>
    <row r="15" ht="14.25" customHeight="1">
      <c r="A15" s="12"/>
      <c r="D15" s="58" t="s">
        <v>165</v>
      </c>
      <c r="E15" s="44"/>
      <c r="F15" s="46"/>
      <c r="G15" s="58" t="s">
        <v>166</v>
      </c>
      <c r="H15" s="46"/>
      <c r="I15" s="58" t="s">
        <v>167</v>
      </c>
      <c r="J15" s="46"/>
    </row>
    <row r="16" ht="14.25" customHeight="1">
      <c r="A16" s="12">
        <v>5.0</v>
      </c>
      <c r="B16" s="1" t="s">
        <v>168</v>
      </c>
      <c r="D16" s="58"/>
      <c r="E16" s="44"/>
      <c r="F16" s="46"/>
      <c r="G16" s="58"/>
      <c r="H16" s="46"/>
      <c r="I16" s="58"/>
      <c r="J16" s="46"/>
    </row>
    <row r="17" ht="14.25" customHeight="1">
      <c r="A17" s="12"/>
      <c r="D17" s="58"/>
      <c r="E17" s="44"/>
      <c r="F17" s="46"/>
      <c r="G17" s="58"/>
      <c r="H17" s="46"/>
      <c r="I17" s="58"/>
      <c r="J17" s="46"/>
    </row>
    <row r="18" ht="14.25" customHeight="1">
      <c r="A18" s="12"/>
      <c r="D18" s="12"/>
      <c r="G18" s="12"/>
    </row>
    <row r="19" ht="45.0" customHeight="1">
      <c r="A19" s="12"/>
      <c r="D19" s="62" t="s">
        <v>172</v>
      </c>
      <c r="E19" s="44"/>
      <c r="F19" s="44"/>
      <c r="G19" s="44"/>
      <c r="H19" s="44"/>
      <c r="I19" s="44"/>
      <c r="J19" s="46"/>
    </row>
    <row r="20" ht="14.25" customHeight="1">
      <c r="A20" s="1">
        <v>6.0</v>
      </c>
      <c r="B20" s="1" t="s">
        <v>174</v>
      </c>
    </row>
    <row r="21" ht="14.25" customHeight="1">
      <c r="B21" s="1" t="s">
        <v>175</v>
      </c>
      <c r="D21" s="50"/>
      <c r="E21" s="32"/>
      <c r="F21" s="63" t="s">
        <v>176</v>
      </c>
    </row>
    <row r="22" ht="14.25" customHeight="1">
      <c r="B22" s="1" t="s">
        <v>177</v>
      </c>
      <c r="D22" s="50"/>
      <c r="E22" s="32"/>
      <c r="F22" s="28" t="s">
        <v>176</v>
      </c>
      <c r="G22" s="58" t="s">
        <v>179</v>
      </c>
      <c r="H22" s="46"/>
      <c r="I22" s="64" t="s">
        <v>176</v>
      </c>
    </row>
    <row r="23" ht="14.25" customHeight="1">
      <c r="G23" s="58"/>
      <c r="H23" s="46"/>
      <c r="I23" s="5"/>
    </row>
    <row r="24" ht="14.25" customHeight="1">
      <c r="G24" s="58"/>
      <c r="H24" s="46"/>
      <c r="I24" s="5"/>
    </row>
    <row r="25" ht="14.25" customHeight="1">
      <c r="A25" s="1">
        <v>7.0</v>
      </c>
      <c r="B25" s="1" t="s">
        <v>180</v>
      </c>
    </row>
    <row r="26" ht="14.25" customHeight="1">
      <c r="B26" s="1" t="s">
        <v>175</v>
      </c>
      <c r="D26" s="50"/>
      <c r="E26" s="32"/>
      <c r="F26" s="63" t="s">
        <v>176</v>
      </c>
    </row>
    <row r="27" ht="14.25" customHeight="1">
      <c r="B27" s="1" t="s">
        <v>177</v>
      </c>
      <c r="D27" s="50"/>
      <c r="E27" s="32"/>
      <c r="F27" s="28" t="s">
        <v>176</v>
      </c>
      <c r="G27" s="58" t="s">
        <v>181</v>
      </c>
      <c r="H27" s="46"/>
      <c r="I27" s="64" t="s">
        <v>176</v>
      </c>
    </row>
    <row r="28" ht="14.25" customHeight="1">
      <c r="G28" s="58"/>
      <c r="H28" s="46"/>
      <c r="I28" s="5"/>
    </row>
    <row r="29" ht="14.25" customHeight="1">
      <c r="G29" s="58"/>
      <c r="H29" s="46"/>
      <c r="I29" s="5"/>
    </row>
    <row r="30" ht="14.25" customHeight="1">
      <c r="A30" s="1">
        <v>8.0</v>
      </c>
      <c r="B30" s="1" t="s">
        <v>182</v>
      </c>
      <c r="E30" s="5"/>
      <c r="F30" s="1" t="s">
        <v>183</v>
      </c>
    </row>
    <row r="31" ht="14.25" customHeight="1">
      <c r="B31" s="1" t="s">
        <v>184</v>
      </c>
      <c r="E31" s="5"/>
      <c r="F31" s="1" t="s">
        <v>185</v>
      </c>
    </row>
    <row r="32" ht="14.25" customHeight="1"/>
    <row r="33" ht="14.25" customHeight="1">
      <c r="A33" s="1">
        <v>9.0</v>
      </c>
      <c r="B33" s="1" t="s">
        <v>186</v>
      </c>
    </row>
    <row r="34" ht="14.25" customHeight="1"/>
    <row r="35" ht="14.25" customHeight="1">
      <c r="A35" s="1">
        <v>10.0</v>
      </c>
      <c r="B35" s="1" t="s">
        <v>187</v>
      </c>
      <c r="D35" s="1" t="s">
        <v>188</v>
      </c>
      <c r="F35" s="5"/>
      <c r="G35" s="12" t="s">
        <v>189</v>
      </c>
      <c r="H35" s="5"/>
    </row>
    <row r="36" ht="14.25" customHeight="1">
      <c r="D36" s="1" t="s">
        <v>188</v>
      </c>
      <c r="F36" s="5"/>
      <c r="G36" s="12" t="s">
        <v>189</v>
      </c>
      <c r="H36" s="5"/>
    </row>
    <row r="37" ht="14.25" customHeight="1"/>
    <row r="38" ht="14.25" customHeight="1">
      <c r="A38" s="1">
        <v>11.0</v>
      </c>
      <c r="B38" s="1" t="s">
        <v>191</v>
      </c>
      <c r="D38" s="5"/>
      <c r="E38" s="1" t="s">
        <v>192</v>
      </c>
      <c r="F38" s="5"/>
      <c r="G38" s="1" t="s">
        <v>193</v>
      </c>
      <c r="H38" s="5"/>
      <c r="I38" s="12" t="s">
        <v>194</v>
      </c>
    </row>
    <row r="39" ht="14.25" customHeight="1"/>
    <row r="40" ht="14.25" customHeight="1">
      <c r="A40" s="1">
        <v>12.0</v>
      </c>
      <c r="B40" s="1" t="s">
        <v>195</v>
      </c>
      <c r="D40" s="5"/>
      <c r="E40" s="5" t="s">
        <v>196</v>
      </c>
      <c r="F40" s="5"/>
      <c r="G40" s="5" t="s">
        <v>197</v>
      </c>
      <c r="H40" s="5"/>
      <c r="I40" s="5" t="s">
        <v>198</v>
      </c>
      <c r="J40" s="5"/>
      <c r="K40" s="5" t="s">
        <v>199</v>
      </c>
    </row>
    <row r="41" ht="14.25" customHeight="1">
      <c r="D41" s="5"/>
      <c r="E41" s="5" t="s">
        <v>200</v>
      </c>
      <c r="F41" s="5"/>
      <c r="G41" s="5" t="s">
        <v>201</v>
      </c>
      <c r="H41" s="5"/>
      <c r="I41" s="5" t="s">
        <v>202</v>
      </c>
      <c r="J41" s="5"/>
      <c r="K41" s="5" t="s">
        <v>203</v>
      </c>
    </row>
    <row r="42" ht="14.25" customHeight="1">
      <c r="B42" s="1" t="s">
        <v>204</v>
      </c>
      <c r="D42" s="58"/>
      <c r="E42" s="44"/>
      <c r="F42" s="44"/>
      <c r="G42" s="44"/>
      <c r="H42" s="44"/>
      <c r="I42" s="44"/>
      <c r="J42" s="46"/>
    </row>
    <row r="43" ht="14.25" customHeight="1"/>
    <row r="44" ht="14.25" customHeight="1">
      <c r="A44" s="1">
        <v>13.0</v>
      </c>
      <c r="B44" s="1" t="s">
        <v>205</v>
      </c>
      <c r="D44" s="58"/>
      <c r="E44" s="46"/>
      <c r="F44" s="1" t="s">
        <v>207</v>
      </c>
    </row>
    <row r="45" ht="14.25" customHeight="1">
      <c r="B45" s="1" t="s">
        <v>208</v>
      </c>
      <c r="D45" s="58"/>
      <c r="E45" s="46"/>
      <c r="F45" s="1" t="s">
        <v>210</v>
      </c>
    </row>
    <row r="46" ht="14.25" customHeight="1"/>
    <row r="47" ht="14.25" customHeight="1">
      <c r="A47" s="1">
        <v>14.0</v>
      </c>
      <c r="B47" s="1" t="s">
        <v>212</v>
      </c>
      <c r="D47" s="5"/>
      <c r="E47" s="1" t="s">
        <v>213</v>
      </c>
    </row>
    <row r="48" ht="14.25" customHeight="1">
      <c r="D48" s="5"/>
      <c r="E48" s="1" t="s">
        <v>215</v>
      </c>
    </row>
    <row r="49" ht="14.25" customHeight="1">
      <c r="D49" s="5"/>
      <c r="E49" s="1" t="s">
        <v>218</v>
      </c>
    </row>
    <row r="50" ht="14.25" customHeight="1">
      <c r="D50" s="5"/>
      <c r="E50" s="1" t="s">
        <v>197</v>
      </c>
    </row>
    <row r="51" ht="14.25" customHeight="1">
      <c r="D51" s="5"/>
      <c r="E51" s="1" t="s">
        <v>219</v>
      </c>
    </row>
    <row r="52" ht="14.25" customHeight="1">
      <c r="D52" s="5"/>
      <c r="E52" s="1" t="s">
        <v>220</v>
      </c>
    </row>
    <row r="53" ht="14.25" customHeight="1"/>
    <row r="54" ht="66.0" customHeight="1">
      <c r="A54" s="65">
        <v>15.0</v>
      </c>
      <c r="D54" s="66" t="s">
        <v>221</v>
      </c>
    </row>
    <row r="55" ht="14.25" customHeight="1"/>
    <row r="56" ht="14.25" customHeight="1">
      <c r="A56" s="1">
        <v>16.0</v>
      </c>
      <c r="B56" s="1" t="s">
        <v>222</v>
      </c>
      <c r="D56" s="5"/>
      <c r="E56" s="1" t="s">
        <v>223</v>
      </c>
    </row>
    <row r="57" ht="14.25" customHeight="1"/>
    <row r="58" ht="14.25" customHeight="1">
      <c r="A58" s="1">
        <v>17.0</v>
      </c>
      <c r="B58" s="1" t="s">
        <v>224</v>
      </c>
    </row>
    <row r="59" ht="28.5" customHeight="1">
      <c r="A59" s="67" t="s">
        <v>23</v>
      </c>
      <c r="B59" s="67" t="s">
        <v>225</v>
      </c>
      <c r="C59" s="68" t="s">
        <v>226</v>
      </c>
      <c r="D59" s="69"/>
      <c r="E59" s="68" t="s">
        <v>227</v>
      </c>
      <c r="F59" s="69"/>
      <c r="G59" s="70" t="s">
        <v>228</v>
      </c>
      <c r="H59" s="70" t="s">
        <v>229</v>
      </c>
      <c r="I59" s="71" t="s">
        <v>230</v>
      </c>
      <c r="J59" s="69"/>
      <c r="K59" s="70" t="s">
        <v>231</v>
      </c>
    </row>
    <row r="60" ht="19.5" customHeight="1">
      <c r="A60" s="72"/>
      <c r="B60" s="72"/>
      <c r="C60" s="73" t="s">
        <v>232</v>
      </c>
      <c r="D60" s="73" t="s">
        <v>233</v>
      </c>
      <c r="E60" s="73" t="s">
        <v>234</v>
      </c>
      <c r="F60" s="73" t="s">
        <v>235</v>
      </c>
      <c r="G60" s="72"/>
      <c r="H60" s="72"/>
      <c r="I60" s="74" t="s">
        <v>232</v>
      </c>
      <c r="J60" s="75" t="s">
        <v>233</v>
      </c>
      <c r="K60" s="72"/>
    </row>
    <row r="61" ht="14.25" customHeight="1">
      <c r="A61" s="28">
        <v>1.0</v>
      </c>
      <c r="B61" s="32" t="s">
        <v>236</v>
      </c>
      <c r="C61" s="32">
        <v>10.0</v>
      </c>
      <c r="D61" s="28" t="s">
        <v>237</v>
      </c>
      <c r="E61" s="28">
        <v>24.0</v>
      </c>
      <c r="F61" s="28">
        <v>7.0</v>
      </c>
      <c r="G61" s="32" t="s">
        <v>238</v>
      </c>
      <c r="H61" s="76">
        <v>1500.0</v>
      </c>
      <c r="I61" s="76">
        <v>70000.0</v>
      </c>
      <c r="J61" s="28" t="s">
        <v>239</v>
      </c>
      <c r="K61" s="76">
        <f>I61*6000/9000</f>
        <v>46666.66667</v>
      </c>
    </row>
    <row r="62" ht="14.25" customHeight="1">
      <c r="A62" s="28">
        <v>2.0</v>
      </c>
      <c r="B62" s="32" t="s">
        <v>240</v>
      </c>
      <c r="C62" s="76">
        <v>2000000.0</v>
      </c>
      <c r="D62" s="28" t="s">
        <v>241</v>
      </c>
      <c r="E62" s="28">
        <v>24.0</v>
      </c>
      <c r="F62" s="28">
        <v>7.0</v>
      </c>
      <c r="G62" s="32" t="s">
        <v>198</v>
      </c>
      <c r="H62" s="76">
        <v>21000.0</v>
      </c>
      <c r="I62" s="76">
        <v>30000.0</v>
      </c>
      <c r="J62" s="28" t="s">
        <v>242</v>
      </c>
      <c r="K62" s="76">
        <f t="shared" ref="K62:K63" si="1">I62*9000/9000</f>
        <v>30000</v>
      </c>
    </row>
    <row r="63" ht="14.25" customHeight="1">
      <c r="A63" s="28">
        <v>3.0</v>
      </c>
      <c r="B63" s="32" t="s">
        <v>244</v>
      </c>
      <c r="C63" s="76">
        <v>1000000.0</v>
      </c>
      <c r="D63" s="28" t="s">
        <v>241</v>
      </c>
      <c r="E63" s="28">
        <v>24.0</v>
      </c>
      <c r="F63" s="28">
        <v>7.0</v>
      </c>
      <c r="G63" s="32" t="s">
        <v>198</v>
      </c>
      <c r="H63" s="76">
        <v>21000.0</v>
      </c>
      <c r="I63" s="76">
        <v>20000.0</v>
      </c>
      <c r="J63" s="28" t="s">
        <v>242</v>
      </c>
      <c r="K63" s="76">
        <f t="shared" si="1"/>
        <v>20000</v>
      </c>
    </row>
    <row r="64" ht="14.25" customHeight="1">
      <c r="A64" s="28">
        <v>4.0</v>
      </c>
      <c r="B64" s="32"/>
      <c r="C64" s="32"/>
      <c r="D64" s="28"/>
      <c r="E64" s="32"/>
      <c r="F64" s="32"/>
      <c r="G64" s="32"/>
      <c r="H64" s="32"/>
      <c r="I64" s="32"/>
      <c r="J64" s="32"/>
      <c r="K64" s="76"/>
    </row>
    <row r="65" ht="14.25" customHeight="1">
      <c r="A65" s="28"/>
      <c r="B65" s="32"/>
      <c r="C65" s="32"/>
      <c r="D65" s="28"/>
      <c r="E65" s="32"/>
      <c r="F65" s="32"/>
      <c r="G65" s="32"/>
      <c r="H65" s="32"/>
      <c r="I65" s="32"/>
      <c r="J65" s="32"/>
      <c r="K65" s="32"/>
    </row>
    <row r="66" ht="14.25" customHeight="1">
      <c r="A66" s="77"/>
      <c r="B66" s="78"/>
      <c r="C66" s="78"/>
      <c r="D66" s="77"/>
      <c r="E66" s="78"/>
      <c r="F66" s="78"/>
      <c r="G66" s="78"/>
      <c r="H66" s="78"/>
      <c r="I66" s="78"/>
      <c r="J66" s="78"/>
      <c r="K66" s="78"/>
    </row>
    <row r="67" ht="14.25" customHeight="1">
      <c r="A67" s="79"/>
      <c r="B67" s="79" t="s">
        <v>246</v>
      </c>
      <c r="C67" s="79"/>
      <c r="D67" s="79"/>
      <c r="E67" s="79"/>
      <c r="F67" s="79"/>
      <c r="G67" s="79"/>
      <c r="H67" s="79"/>
      <c r="I67" s="79"/>
      <c r="J67" s="79"/>
      <c r="K67" s="80">
        <f>SUM(K61:K66)</f>
        <v>96666.66667</v>
      </c>
    </row>
    <row r="68" ht="14.25" customHeight="1"/>
    <row r="69" ht="14.25" customHeight="1"/>
    <row r="70" ht="14.25" customHeight="1">
      <c r="B70" s="1" t="s">
        <v>247</v>
      </c>
      <c r="H70" s="1" t="s">
        <v>248</v>
      </c>
    </row>
    <row r="71" ht="14.25" customHeight="1"/>
    <row r="72" ht="14.25" customHeight="1"/>
    <row r="73" ht="14.25" customHeight="1">
      <c r="B73" s="1" t="s">
        <v>249</v>
      </c>
      <c r="H73" s="1" t="s">
        <v>249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D4:I4"/>
    <mergeCell ref="D11:F11"/>
    <mergeCell ref="G11:H11"/>
    <mergeCell ref="I11:J11"/>
    <mergeCell ref="D12:F12"/>
    <mergeCell ref="G12:H12"/>
    <mergeCell ref="I12:J12"/>
    <mergeCell ref="D13:F13"/>
    <mergeCell ref="G13:H13"/>
    <mergeCell ref="I13:J13"/>
    <mergeCell ref="D14:F14"/>
    <mergeCell ref="G14:H14"/>
    <mergeCell ref="G15:H15"/>
    <mergeCell ref="I15:J15"/>
    <mergeCell ref="D15:F15"/>
    <mergeCell ref="D16:F16"/>
    <mergeCell ref="G16:H16"/>
    <mergeCell ref="I16:J16"/>
    <mergeCell ref="D17:F17"/>
    <mergeCell ref="G17:H17"/>
    <mergeCell ref="I17:J17"/>
    <mergeCell ref="D18:F18"/>
    <mergeCell ref="G18:H18"/>
    <mergeCell ref="D19:J19"/>
    <mergeCell ref="G22:H22"/>
    <mergeCell ref="G23:H23"/>
    <mergeCell ref="G24:H24"/>
    <mergeCell ref="G27:H27"/>
    <mergeCell ref="B59:B60"/>
    <mergeCell ref="C59:D59"/>
    <mergeCell ref="E59:F59"/>
    <mergeCell ref="G59:G60"/>
    <mergeCell ref="H59:H60"/>
    <mergeCell ref="I59:J59"/>
    <mergeCell ref="G28:H28"/>
    <mergeCell ref="G29:H29"/>
    <mergeCell ref="D42:J42"/>
    <mergeCell ref="D44:E44"/>
    <mergeCell ref="D45:E45"/>
    <mergeCell ref="D54:K54"/>
    <mergeCell ref="A59:A60"/>
    <mergeCell ref="K59:K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2026-03-29T03:14:48Z</dcterms:created>
  <dc:creator>Rizal Yuniarto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0x0101008E84849A5A1BBC44A05BC3E0E028E4B3</vt:lpwstr>
  </property>
</Properties>
</file>